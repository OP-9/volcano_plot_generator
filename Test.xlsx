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eshpunchinilame/Desktop/Dasun Project/UofA Research/"/>
    </mc:Choice>
  </mc:AlternateContent>
  <xr:revisionPtr revIDLastSave="0" documentId="13_ncr:1_{C099D0F1-C197-D147-AD47-2D4DCA5C39D1}" xr6:coauthVersionLast="47" xr6:coauthVersionMax="47" xr10:uidLastSave="{00000000-0000-0000-0000-000000000000}"/>
  <bookViews>
    <workbookView xWindow="0" yWindow="600" windowWidth="28800" windowHeight="15760" xr2:uid="{E0128A43-743B-8C49-BE99-8D792C6424ED}"/>
  </bookViews>
  <sheets>
    <sheet name="Mobin LVH HCM" sheetId="48" r:id="rId1"/>
    <sheet name="Mobin M An HCM NFC" sheetId="25" r:id="rId2"/>
    <sheet name="Mobin F Ps HCM NFC" sheetId="33" r:id="rId3"/>
    <sheet name="Mobin F An HCM NFC" sheetId="32" r:id="rId4"/>
    <sheet name="Mobin HCM NFC" sheetId="34" r:id="rId5"/>
    <sheet name="Mobin M Ps HCM NFC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2" i="48" l="1"/>
  <c r="CJ13" i="48"/>
  <c r="CJ14" i="48"/>
  <c r="CJ15" i="48"/>
  <c r="CJ16" i="48"/>
  <c r="CJ17" i="48"/>
  <c r="CJ18" i="48"/>
  <c r="CJ19" i="48"/>
  <c r="CJ20" i="48"/>
  <c r="CJ21" i="48"/>
  <c r="CJ22" i="48"/>
  <c r="CJ23" i="48"/>
  <c r="CJ24" i="48"/>
  <c r="CJ25" i="48"/>
  <c r="CJ26" i="48"/>
  <c r="CJ27" i="48"/>
  <c r="CJ28" i="48"/>
  <c r="CJ29" i="48"/>
  <c r="CJ30" i="48"/>
  <c r="CJ31" i="48"/>
  <c r="CJ32" i="48"/>
  <c r="CJ33" i="48"/>
  <c r="CJ34" i="48"/>
  <c r="CJ35" i="48"/>
  <c r="CJ36" i="48"/>
  <c r="CJ37" i="48"/>
  <c r="CJ38" i="48"/>
  <c r="CJ39" i="48"/>
  <c r="CJ40" i="48"/>
  <c r="CJ41" i="48"/>
  <c r="CJ42" i="48"/>
  <c r="CJ43" i="48"/>
  <c r="CJ44" i="48"/>
  <c r="CJ45" i="48"/>
  <c r="CJ46" i="48"/>
  <c r="CJ47" i="48"/>
  <c r="CJ48" i="48"/>
  <c r="CJ49" i="48"/>
  <c r="CJ50" i="48"/>
  <c r="CJ51" i="48"/>
  <c r="CJ52" i="48"/>
  <c r="CJ53" i="48"/>
  <c r="CJ54" i="48"/>
  <c r="CJ55" i="48"/>
  <c r="CJ56" i="48"/>
  <c r="CJ57" i="48"/>
  <c r="CJ58" i="48"/>
  <c r="CJ59" i="48"/>
  <c r="CJ60" i="48"/>
  <c r="CJ61" i="48"/>
  <c r="CJ62" i="48"/>
  <c r="CJ63" i="48"/>
  <c r="CJ64" i="48"/>
  <c r="CJ65" i="48"/>
  <c r="CJ66" i="48"/>
  <c r="CJ67" i="48"/>
  <c r="CJ68" i="48"/>
  <c r="CJ69" i="48"/>
  <c r="CJ70" i="48"/>
  <c r="CJ71" i="48"/>
  <c r="CJ72" i="48"/>
  <c r="CJ73" i="48"/>
  <c r="CJ74" i="48"/>
  <c r="CJ75" i="48"/>
  <c r="CJ76" i="48"/>
  <c r="CJ77" i="48"/>
  <c r="CJ78" i="48"/>
  <c r="CJ79" i="48"/>
  <c r="CJ80" i="48"/>
  <c r="CJ81" i="48"/>
  <c r="CJ82" i="48"/>
  <c r="CJ83" i="48"/>
  <c r="CJ84" i="48"/>
  <c r="CJ85" i="48"/>
  <c r="CJ86" i="48"/>
  <c r="CJ87" i="48"/>
  <c r="CJ88" i="48"/>
  <c r="CJ89" i="48"/>
  <c r="CI12" i="48"/>
  <c r="CI13" i="48"/>
  <c r="CI14" i="48"/>
  <c r="CI15" i="48"/>
  <c r="CI16" i="48"/>
  <c r="CI17" i="48"/>
  <c r="CI18" i="48"/>
  <c r="CI19" i="48"/>
  <c r="CI20" i="48"/>
  <c r="CI21" i="48"/>
  <c r="CI22" i="48"/>
  <c r="CI23" i="48"/>
  <c r="CI24" i="48"/>
  <c r="CI25" i="48"/>
  <c r="CI26" i="48"/>
  <c r="CI27" i="48"/>
  <c r="CI28" i="48"/>
  <c r="CI29" i="48"/>
  <c r="CI30" i="48"/>
  <c r="CI31" i="48"/>
  <c r="CI32" i="48"/>
  <c r="CI33" i="48"/>
  <c r="CI34" i="48"/>
  <c r="CI35" i="48"/>
  <c r="CI36" i="48"/>
  <c r="CI37" i="48"/>
  <c r="CI38" i="48"/>
  <c r="CI39" i="48"/>
  <c r="CI40" i="48"/>
  <c r="CI41" i="48"/>
  <c r="CI42" i="48"/>
  <c r="CI43" i="48"/>
  <c r="CI44" i="48"/>
  <c r="CI45" i="48"/>
  <c r="CI46" i="48"/>
  <c r="CI47" i="48"/>
  <c r="CI48" i="48"/>
  <c r="CI49" i="48"/>
  <c r="CI50" i="48"/>
  <c r="CI51" i="48"/>
  <c r="CI52" i="48"/>
  <c r="CI53" i="48"/>
  <c r="CI54" i="48"/>
  <c r="CI55" i="48"/>
  <c r="CI56" i="48"/>
  <c r="CI57" i="48"/>
  <c r="CI58" i="48"/>
  <c r="CI59" i="48"/>
  <c r="CI60" i="48"/>
  <c r="CI61" i="48"/>
  <c r="CI62" i="48"/>
  <c r="CI63" i="48"/>
  <c r="CI64" i="48"/>
  <c r="CI65" i="48"/>
  <c r="CI66" i="48"/>
  <c r="CI67" i="48"/>
  <c r="CI68" i="48"/>
  <c r="CI69" i="48"/>
  <c r="CI70" i="48"/>
  <c r="CI71" i="48"/>
  <c r="CI72" i="48"/>
  <c r="CI73" i="48"/>
  <c r="CI74" i="48"/>
  <c r="CI75" i="48"/>
  <c r="CI76" i="48"/>
  <c r="CI77" i="48"/>
  <c r="CI78" i="48"/>
  <c r="CI79" i="48"/>
  <c r="CI80" i="48"/>
  <c r="CI81" i="48"/>
  <c r="CI82" i="48"/>
  <c r="CI83" i="48"/>
  <c r="CI84" i="48"/>
  <c r="CI85" i="48"/>
  <c r="CI86" i="48"/>
  <c r="CI87" i="48"/>
  <c r="CI88" i="48"/>
  <c r="CI89" i="48"/>
  <c r="CH12" i="48"/>
  <c r="CH13" i="48"/>
  <c r="CH14" i="48"/>
  <c r="CH15" i="48"/>
  <c r="CH16" i="48"/>
  <c r="CH17" i="48"/>
  <c r="CH18" i="48"/>
  <c r="CH19" i="48"/>
  <c r="CH20" i="48"/>
  <c r="CH21" i="48"/>
  <c r="CH22" i="48"/>
  <c r="CH23" i="48"/>
  <c r="CH24" i="48"/>
  <c r="CH25" i="48"/>
  <c r="CH26" i="48"/>
  <c r="CH27" i="48"/>
  <c r="CH28" i="48"/>
  <c r="CH29" i="48"/>
  <c r="CH30" i="48"/>
  <c r="CH31" i="48"/>
  <c r="CH32" i="48"/>
  <c r="CH33" i="48"/>
  <c r="CH34" i="48"/>
  <c r="CH35" i="48"/>
  <c r="CH36" i="48"/>
  <c r="CH37" i="48"/>
  <c r="CH38" i="48"/>
  <c r="CH39" i="48"/>
  <c r="CH40" i="48"/>
  <c r="CH41" i="48"/>
  <c r="CH42" i="48"/>
  <c r="CH43" i="48"/>
  <c r="CH44" i="48"/>
  <c r="CH45" i="48"/>
  <c r="CH46" i="48"/>
  <c r="CH47" i="48"/>
  <c r="CH48" i="48"/>
  <c r="CH49" i="48"/>
  <c r="CH50" i="48"/>
  <c r="CH51" i="48"/>
  <c r="CH52" i="48"/>
  <c r="CH53" i="48"/>
  <c r="CH54" i="48"/>
  <c r="CH55" i="48"/>
  <c r="CH56" i="48"/>
  <c r="CH57" i="48"/>
  <c r="CH58" i="48"/>
  <c r="CH59" i="48"/>
  <c r="CH60" i="48"/>
  <c r="CH61" i="48"/>
  <c r="CH62" i="48"/>
  <c r="CH63" i="48"/>
  <c r="CH64" i="48"/>
  <c r="CH65" i="48"/>
  <c r="CH66" i="48"/>
  <c r="CH67" i="48"/>
  <c r="CH68" i="48"/>
  <c r="CH69" i="48"/>
  <c r="CH70" i="48"/>
  <c r="CH71" i="48"/>
  <c r="CH72" i="48"/>
  <c r="CH73" i="48"/>
  <c r="CH74" i="48"/>
  <c r="CH75" i="48"/>
  <c r="CH76" i="48"/>
  <c r="CH77" i="48"/>
  <c r="CH78" i="48"/>
  <c r="CH79" i="48"/>
  <c r="CH80" i="48"/>
  <c r="CH81" i="48"/>
  <c r="CH82" i="48"/>
  <c r="CH83" i="48"/>
  <c r="CH84" i="48"/>
  <c r="CH85" i="48"/>
  <c r="CH86" i="48"/>
  <c r="CH87" i="48"/>
  <c r="CH88" i="48"/>
  <c r="CH89" i="48"/>
  <c r="CG12" i="48"/>
  <c r="CG13" i="48"/>
  <c r="CG14" i="48"/>
  <c r="CG15" i="48"/>
  <c r="CG16" i="48"/>
  <c r="CG17" i="48"/>
  <c r="CG18" i="48"/>
  <c r="CG19" i="48"/>
  <c r="CG20" i="48"/>
  <c r="CG21" i="48"/>
  <c r="CG22" i="48"/>
  <c r="CG23" i="48"/>
  <c r="CG24" i="48"/>
  <c r="CG25" i="48"/>
  <c r="CG26" i="48"/>
  <c r="CG27" i="48"/>
  <c r="CG28" i="48"/>
  <c r="CG29" i="48"/>
  <c r="CG30" i="48"/>
  <c r="CG31" i="48"/>
  <c r="CG32" i="48"/>
  <c r="CG33" i="48"/>
  <c r="CG34" i="48"/>
  <c r="CG35" i="48"/>
  <c r="CG36" i="48"/>
  <c r="CG37" i="48"/>
  <c r="CG38" i="48"/>
  <c r="CG39" i="48"/>
  <c r="CG40" i="48"/>
  <c r="CG41" i="48"/>
  <c r="CG42" i="48"/>
  <c r="CG43" i="48"/>
  <c r="CG44" i="48"/>
  <c r="CG45" i="48"/>
  <c r="CG46" i="48"/>
  <c r="CG47" i="48"/>
  <c r="CG48" i="48"/>
  <c r="CG49" i="48"/>
  <c r="CG50" i="48"/>
  <c r="CG51" i="48"/>
  <c r="CG52" i="48"/>
  <c r="CG53" i="48"/>
  <c r="CG54" i="48"/>
  <c r="CG55" i="48"/>
  <c r="CG56" i="48"/>
  <c r="CG57" i="48"/>
  <c r="CG58" i="48"/>
  <c r="CG59" i="48"/>
  <c r="CG60" i="48"/>
  <c r="CG61" i="48"/>
  <c r="CG62" i="48"/>
  <c r="CG63" i="48"/>
  <c r="CG64" i="48"/>
  <c r="CG65" i="48"/>
  <c r="CG66" i="48"/>
  <c r="CG67" i="48"/>
  <c r="CG68" i="48"/>
  <c r="CG69" i="48"/>
  <c r="CG70" i="48"/>
  <c r="CG71" i="48"/>
  <c r="CG72" i="48"/>
  <c r="CG73" i="48"/>
  <c r="CG74" i="48"/>
  <c r="CG75" i="48"/>
  <c r="CG76" i="48"/>
  <c r="CG77" i="48"/>
  <c r="CG78" i="48"/>
  <c r="CG79" i="48"/>
  <c r="CG80" i="48"/>
  <c r="CG81" i="48"/>
  <c r="CG82" i="48"/>
  <c r="CG83" i="48"/>
  <c r="CG84" i="48"/>
  <c r="CG85" i="48"/>
  <c r="CG86" i="48"/>
  <c r="CG87" i="48"/>
  <c r="CG88" i="48"/>
  <c r="CG89" i="48"/>
  <c r="CF12" i="48"/>
  <c r="CF13" i="48"/>
  <c r="CF14" i="48"/>
  <c r="CF15" i="48"/>
  <c r="CF16" i="48"/>
  <c r="CF17" i="48"/>
  <c r="CF18" i="48"/>
  <c r="CF19" i="48"/>
  <c r="CF20" i="48"/>
  <c r="CF21" i="48"/>
  <c r="CF22" i="48"/>
  <c r="CF23" i="48"/>
  <c r="CF24" i="48"/>
  <c r="CF25" i="48"/>
  <c r="CF26" i="48"/>
  <c r="CF27" i="48"/>
  <c r="CF28" i="48"/>
  <c r="CF29" i="48"/>
  <c r="CF30" i="48"/>
  <c r="CF31" i="48"/>
  <c r="CF32" i="48"/>
  <c r="CF33" i="48"/>
  <c r="CF34" i="48"/>
  <c r="CF35" i="48"/>
  <c r="CF36" i="48"/>
  <c r="CF37" i="48"/>
  <c r="CF38" i="48"/>
  <c r="CF39" i="48"/>
  <c r="CF40" i="48"/>
  <c r="CF41" i="48"/>
  <c r="CF42" i="48"/>
  <c r="CF43" i="48"/>
  <c r="CF44" i="48"/>
  <c r="CF45" i="48"/>
  <c r="CF46" i="48"/>
  <c r="CF47" i="48"/>
  <c r="CF48" i="48"/>
  <c r="CF49" i="48"/>
  <c r="CF50" i="48"/>
  <c r="CF51" i="48"/>
  <c r="CF52" i="48"/>
  <c r="CF53" i="48"/>
  <c r="CF54" i="48"/>
  <c r="CF55" i="48"/>
  <c r="CF56" i="48"/>
  <c r="CF57" i="48"/>
  <c r="CF58" i="48"/>
  <c r="CF59" i="48"/>
  <c r="CF60" i="48"/>
  <c r="CF61" i="48"/>
  <c r="CF62" i="48"/>
  <c r="CF63" i="48"/>
  <c r="CF64" i="48"/>
  <c r="CF65" i="48"/>
  <c r="CF66" i="48"/>
  <c r="CF67" i="48"/>
  <c r="CF68" i="48"/>
  <c r="CF69" i="48"/>
  <c r="CF70" i="48"/>
  <c r="CF71" i="48"/>
  <c r="CF72" i="48"/>
  <c r="CF73" i="48"/>
  <c r="CF74" i="48"/>
  <c r="CF75" i="48"/>
  <c r="CF76" i="48"/>
  <c r="CF77" i="48"/>
  <c r="CF78" i="48"/>
  <c r="CF79" i="48"/>
  <c r="CF80" i="48"/>
  <c r="CF81" i="48"/>
  <c r="CF82" i="48"/>
  <c r="CF83" i="48"/>
  <c r="CF84" i="48"/>
  <c r="CF85" i="48"/>
  <c r="CF86" i="48"/>
  <c r="CF87" i="48"/>
  <c r="CF88" i="48"/>
  <c r="CF89" i="48"/>
  <c r="CE12" i="48"/>
  <c r="CE13" i="48"/>
  <c r="CE14" i="48"/>
  <c r="CE15" i="48"/>
  <c r="CE16" i="48"/>
  <c r="CE17" i="48"/>
  <c r="CE18" i="48"/>
  <c r="CE19" i="48"/>
  <c r="CE20" i="48"/>
  <c r="CE21" i="48"/>
  <c r="CE22" i="48"/>
  <c r="CE23" i="48"/>
  <c r="CE24" i="48"/>
  <c r="CE25" i="48"/>
  <c r="CE26" i="48"/>
  <c r="CE27" i="48"/>
  <c r="CE28" i="48"/>
  <c r="CE29" i="48"/>
  <c r="CE30" i="48"/>
  <c r="CE31" i="48"/>
  <c r="CE32" i="48"/>
  <c r="CE33" i="48"/>
  <c r="CE34" i="48"/>
  <c r="CE35" i="48"/>
  <c r="CE36" i="48"/>
  <c r="CE37" i="48"/>
  <c r="CE38" i="48"/>
  <c r="CE39" i="48"/>
  <c r="CE40" i="48"/>
  <c r="CE41" i="48"/>
  <c r="CE42" i="48"/>
  <c r="CE43" i="48"/>
  <c r="CE44" i="48"/>
  <c r="CE45" i="48"/>
  <c r="CE46" i="48"/>
  <c r="CE47" i="48"/>
  <c r="CE48" i="48"/>
  <c r="CE49" i="48"/>
  <c r="CE50" i="48"/>
  <c r="CE51" i="48"/>
  <c r="CE52" i="48"/>
  <c r="CE53" i="48"/>
  <c r="CE54" i="48"/>
  <c r="CE55" i="48"/>
  <c r="CE56" i="48"/>
  <c r="CE57" i="48"/>
  <c r="CE58" i="48"/>
  <c r="CE59" i="48"/>
  <c r="CE60" i="48"/>
  <c r="CE61" i="48"/>
  <c r="CE62" i="48"/>
  <c r="CE63" i="48"/>
  <c r="CE64" i="48"/>
  <c r="CE65" i="48"/>
  <c r="CE66" i="48"/>
  <c r="CE67" i="48"/>
  <c r="CE68" i="48"/>
  <c r="CE69" i="48"/>
  <c r="CE70" i="48"/>
  <c r="CE71" i="48"/>
  <c r="CE72" i="48"/>
  <c r="CE73" i="48"/>
  <c r="CE74" i="48"/>
  <c r="CE75" i="48"/>
  <c r="CE76" i="48"/>
  <c r="CE77" i="48"/>
  <c r="CE78" i="48"/>
  <c r="CE79" i="48"/>
  <c r="CE80" i="48"/>
  <c r="CE81" i="48"/>
  <c r="CE82" i="48"/>
  <c r="CE83" i="48"/>
  <c r="CE84" i="48"/>
  <c r="CE85" i="48"/>
  <c r="CE86" i="48"/>
  <c r="CE87" i="48"/>
  <c r="CE88" i="48"/>
  <c r="CE89" i="48"/>
  <c r="CD12" i="34"/>
  <c r="CD13" i="34"/>
  <c r="CD14" i="34"/>
  <c r="CD15" i="34"/>
  <c r="CD16" i="34"/>
  <c r="CD17" i="34"/>
  <c r="CD18" i="34"/>
  <c r="CD19" i="34"/>
  <c r="CD20" i="34"/>
  <c r="CD21" i="34"/>
  <c r="CD22" i="34"/>
  <c r="CD23" i="34"/>
  <c r="CD24" i="34"/>
  <c r="CD25" i="34"/>
  <c r="CD26" i="34"/>
  <c r="CD27" i="34"/>
  <c r="CD28" i="34"/>
  <c r="CD29" i="34"/>
  <c r="CD30" i="34"/>
  <c r="CD31" i="34"/>
  <c r="CD32" i="34"/>
  <c r="CD33" i="34"/>
  <c r="CD34" i="34"/>
  <c r="CD35" i="34"/>
  <c r="CD36" i="34"/>
  <c r="CD37" i="34"/>
  <c r="CD38" i="34"/>
  <c r="CD39" i="34"/>
  <c r="CD40" i="34"/>
  <c r="CD41" i="34"/>
  <c r="CD42" i="34"/>
  <c r="CD43" i="34"/>
  <c r="CD44" i="34"/>
  <c r="CD45" i="34"/>
  <c r="CD46" i="34"/>
  <c r="CD47" i="34"/>
  <c r="CD48" i="34"/>
  <c r="CD49" i="34"/>
  <c r="CD50" i="34"/>
  <c r="CD51" i="34"/>
  <c r="CD52" i="34"/>
  <c r="CD53" i="34"/>
  <c r="CD54" i="34"/>
  <c r="CD55" i="34"/>
  <c r="CD56" i="34"/>
  <c r="CD57" i="34"/>
  <c r="CD58" i="34"/>
  <c r="CD59" i="34"/>
  <c r="CD60" i="34"/>
  <c r="CD61" i="34"/>
  <c r="CD62" i="34"/>
  <c r="CD63" i="34"/>
  <c r="CD64" i="34"/>
  <c r="CD65" i="34"/>
  <c r="CD66" i="34"/>
  <c r="CD67" i="34"/>
  <c r="CD68" i="34"/>
  <c r="CD69" i="34"/>
  <c r="CD70" i="34"/>
  <c r="CD71" i="34"/>
  <c r="CD72" i="34"/>
  <c r="CD73" i="34"/>
  <c r="CD74" i="34"/>
  <c r="CD75" i="34"/>
  <c r="CD76" i="34"/>
  <c r="CD77" i="34"/>
  <c r="CD78" i="34"/>
  <c r="CD79" i="34"/>
  <c r="CD80" i="34"/>
  <c r="CD81" i="34"/>
  <c r="CD82" i="34"/>
  <c r="CD83" i="34"/>
  <c r="CD84" i="34"/>
  <c r="CD85" i="34"/>
  <c r="CD86" i="34"/>
  <c r="CD87" i="34"/>
  <c r="CD88" i="34"/>
  <c r="CD89" i="34"/>
  <c r="CC12" i="34"/>
  <c r="CC13" i="34"/>
  <c r="CC14" i="34"/>
  <c r="CC15" i="34"/>
  <c r="CC16" i="34"/>
  <c r="CC17" i="34"/>
  <c r="CC18" i="34"/>
  <c r="CC19" i="34"/>
  <c r="CC20" i="34"/>
  <c r="CC21" i="34"/>
  <c r="CC22" i="34"/>
  <c r="CC23" i="34"/>
  <c r="CC24" i="34"/>
  <c r="CC25" i="34"/>
  <c r="CC26" i="34"/>
  <c r="CC27" i="34"/>
  <c r="CC28" i="34"/>
  <c r="CC29" i="34"/>
  <c r="CC30" i="34"/>
  <c r="CC31" i="34"/>
  <c r="CC32" i="34"/>
  <c r="CC33" i="34"/>
  <c r="CC34" i="34"/>
  <c r="CC35" i="34"/>
  <c r="CC36" i="34"/>
  <c r="CC37" i="34"/>
  <c r="CC38" i="34"/>
  <c r="CC39" i="34"/>
  <c r="CC40" i="34"/>
  <c r="CC41" i="34"/>
  <c r="CC42" i="34"/>
  <c r="CC43" i="34"/>
  <c r="CC44" i="34"/>
  <c r="CC45" i="34"/>
  <c r="CC46" i="34"/>
  <c r="CC47" i="34"/>
  <c r="CC48" i="34"/>
  <c r="CC49" i="34"/>
  <c r="CC50" i="34"/>
  <c r="CC51" i="34"/>
  <c r="CC52" i="34"/>
  <c r="CC53" i="34"/>
  <c r="CC54" i="34"/>
  <c r="CC55" i="34"/>
  <c r="CC56" i="34"/>
  <c r="CC57" i="34"/>
  <c r="CC58" i="34"/>
  <c r="CC59" i="34"/>
  <c r="CC60" i="34"/>
  <c r="CC61" i="34"/>
  <c r="CC62" i="34"/>
  <c r="CC63" i="34"/>
  <c r="CC64" i="34"/>
  <c r="CC65" i="34"/>
  <c r="CC66" i="34"/>
  <c r="CC67" i="34"/>
  <c r="CC68" i="34"/>
  <c r="CC69" i="34"/>
  <c r="CC70" i="34"/>
  <c r="CC71" i="34"/>
  <c r="CC72" i="34"/>
  <c r="CC73" i="34"/>
  <c r="CC74" i="34"/>
  <c r="CC75" i="34"/>
  <c r="CC76" i="34"/>
  <c r="CC77" i="34"/>
  <c r="CC78" i="34"/>
  <c r="CC79" i="34"/>
  <c r="CC80" i="34"/>
  <c r="CC81" i="34"/>
  <c r="CC82" i="34"/>
  <c r="CC83" i="34"/>
  <c r="CC84" i="34"/>
  <c r="CC85" i="34"/>
  <c r="CC86" i="34"/>
  <c r="CC87" i="34"/>
  <c r="CC88" i="34"/>
  <c r="CC89" i="34"/>
  <c r="CB12" i="34"/>
  <c r="CB13" i="34"/>
  <c r="CB14" i="34"/>
  <c r="CB15" i="34"/>
  <c r="CB16" i="34"/>
  <c r="CB17" i="34"/>
  <c r="CB18" i="34"/>
  <c r="CB19" i="34"/>
  <c r="CB20" i="34"/>
  <c r="CB21" i="34"/>
  <c r="CB22" i="34"/>
  <c r="CB23" i="34"/>
  <c r="CB24" i="34"/>
  <c r="CB25" i="34"/>
  <c r="CB26" i="34"/>
  <c r="CB27" i="34"/>
  <c r="CB28" i="34"/>
  <c r="CB29" i="34"/>
  <c r="CB30" i="34"/>
  <c r="CB31" i="34"/>
  <c r="CB32" i="34"/>
  <c r="CB33" i="34"/>
  <c r="CB34" i="34"/>
  <c r="CB35" i="34"/>
  <c r="CB36" i="34"/>
  <c r="CB37" i="34"/>
  <c r="CB38" i="34"/>
  <c r="CB39" i="34"/>
  <c r="CB40" i="34"/>
  <c r="CB41" i="34"/>
  <c r="CB42" i="34"/>
  <c r="CB43" i="34"/>
  <c r="CB44" i="34"/>
  <c r="CB45" i="34"/>
  <c r="CB46" i="34"/>
  <c r="CB47" i="34"/>
  <c r="CB48" i="34"/>
  <c r="CB49" i="34"/>
  <c r="CB50" i="34"/>
  <c r="CB51" i="34"/>
  <c r="CB52" i="34"/>
  <c r="CB53" i="34"/>
  <c r="CB54" i="34"/>
  <c r="CB55" i="34"/>
  <c r="CB56" i="34"/>
  <c r="CB57" i="34"/>
  <c r="CB58" i="34"/>
  <c r="CB59" i="34"/>
  <c r="CB60" i="34"/>
  <c r="CB61" i="34"/>
  <c r="CB62" i="34"/>
  <c r="CB63" i="34"/>
  <c r="CB64" i="34"/>
  <c r="CB65" i="34"/>
  <c r="CB66" i="34"/>
  <c r="CB67" i="34"/>
  <c r="CB68" i="34"/>
  <c r="CB69" i="34"/>
  <c r="CB70" i="34"/>
  <c r="CB71" i="34"/>
  <c r="CB72" i="34"/>
  <c r="CB73" i="34"/>
  <c r="CB74" i="34"/>
  <c r="CB75" i="34"/>
  <c r="CB76" i="34"/>
  <c r="CB77" i="34"/>
  <c r="CB78" i="34"/>
  <c r="CB79" i="34"/>
  <c r="CB80" i="34"/>
  <c r="CB81" i="34"/>
  <c r="CB82" i="34"/>
  <c r="CB83" i="34"/>
  <c r="CB84" i="34"/>
  <c r="CB85" i="34"/>
  <c r="CB86" i="34"/>
  <c r="CB87" i="34"/>
  <c r="CB88" i="34"/>
  <c r="CB89" i="34"/>
  <c r="CA12" i="34"/>
  <c r="CA13" i="34"/>
  <c r="CA14" i="34"/>
  <c r="CA15" i="34"/>
  <c r="CA16" i="34"/>
  <c r="CA17" i="34"/>
  <c r="CA18" i="34"/>
  <c r="CA19" i="34"/>
  <c r="CA20" i="34"/>
  <c r="CA21" i="34"/>
  <c r="CA22" i="34"/>
  <c r="CA23" i="34"/>
  <c r="CA24" i="34"/>
  <c r="CA25" i="34"/>
  <c r="CA26" i="34"/>
  <c r="CA27" i="34"/>
  <c r="CA28" i="34"/>
  <c r="CA29" i="34"/>
  <c r="CA30" i="34"/>
  <c r="CA31" i="34"/>
  <c r="CA32" i="34"/>
  <c r="CA33" i="34"/>
  <c r="CA34" i="34"/>
  <c r="CA35" i="34"/>
  <c r="CA36" i="34"/>
  <c r="CA37" i="34"/>
  <c r="CA38" i="34"/>
  <c r="CA39" i="34"/>
  <c r="CA40" i="34"/>
  <c r="CA41" i="34"/>
  <c r="CA42" i="34"/>
  <c r="CA43" i="34"/>
  <c r="CA44" i="34"/>
  <c r="CA45" i="34"/>
  <c r="CA46" i="34"/>
  <c r="CA47" i="34"/>
  <c r="CA48" i="34"/>
  <c r="CA49" i="34"/>
  <c r="CA50" i="34"/>
  <c r="CA51" i="34"/>
  <c r="CA52" i="34"/>
  <c r="CA53" i="34"/>
  <c r="CA54" i="34"/>
  <c r="CA55" i="34"/>
  <c r="CA56" i="34"/>
  <c r="CA57" i="34"/>
  <c r="CA58" i="34"/>
  <c r="CA59" i="34"/>
  <c r="CA60" i="34"/>
  <c r="CA61" i="34"/>
  <c r="CA62" i="34"/>
  <c r="CA63" i="34"/>
  <c r="CA64" i="34"/>
  <c r="CA65" i="34"/>
  <c r="CA66" i="34"/>
  <c r="CA67" i="34"/>
  <c r="CA68" i="34"/>
  <c r="CA69" i="34"/>
  <c r="CA70" i="34"/>
  <c r="CA71" i="34"/>
  <c r="CA72" i="34"/>
  <c r="CA73" i="34"/>
  <c r="CA74" i="34"/>
  <c r="CA75" i="34"/>
  <c r="CA76" i="34"/>
  <c r="CA77" i="34"/>
  <c r="CA78" i="34"/>
  <c r="CA79" i="34"/>
  <c r="CA80" i="34"/>
  <c r="CA81" i="34"/>
  <c r="CA82" i="34"/>
  <c r="CA83" i="34"/>
  <c r="CA84" i="34"/>
  <c r="CA85" i="34"/>
  <c r="CA86" i="34"/>
  <c r="CA87" i="34"/>
  <c r="CA88" i="34"/>
  <c r="CA89" i="34"/>
  <c r="BZ12" i="34"/>
  <c r="BZ13" i="34"/>
  <c r="BZ14" i="34"/>
  <c r="BZ15" i="34"/>
  <c r="BZ16" i="34"/>
  <c r="BZ17" i="34"/>
  <c r="BZ18" i="34"/>
  <c r="BZ19" i="34"/>
  <c r="BZ20" i="34"/>
  <c r="BZ21" i="34"/>
  <c r="BZ22" i="34"/>
  <c r="BZ23" i="34"/>
  <c r="BZ24" i="34"/>
  <c r="BZ25" i="34"/>
  <c r="BZ26" i="34"/>
  <c r="BZ27" i="34"/>
  <c r="BZ28" i="34"/>
  <c r="BZ29" i="34"/>
  <c r="BZ30" i="34"/>
  <c r="BZ31" i="34"/>
  <c r="BZ32" i="34"/>
  <c r="BZ33" i="34"/>
  <c r="BZ34" i="34"/>
  <c r="BZ35" i="34"/>
  <c r="BZ36" i="34"/>
  <c r="BZ37" i="34"/>
  <c r="BZ38" i="34"/>
  <c r="BZ39" i="34"/>
  <c r="BZ40" i="34"/>
  <c r="BZ41" i="34"/>
  <c r="BZ42" i="34"/>
  <c r="BZ43" i="34"/>
  <c r="BZ44" i="34"/>
  <c r="BZ45" i="34"/>
  <c r="BZ46" i="34"/>
  <c r="BZ47" i="34"/>
  <c r="BZ48" i="34"/>
  <c r="BZ49" i="34"/>
  <c r="BZ50" i="34"/>
  <c r="BZ51" i="34"/>
  <c r="BZ52" i="34"/>
  <c r="BZ53" i="34"/>
  <c r="BZ54" i="34"/>
  <c r="BZ55" i="34"/>
  <c r="BZ56" i="34"/>
  <c r="BZ57" i="34"/>
  <c r="BZ58" i="34"/>
  <c r="BZ59" i="34"/>
  <c r="BZ60" i="34"/>
  <c r="BZ61" i="34"/>
  <c r="BZ62" i="34"/>
  <c r="BZ63" i="34"/>
  <c r="BZ64" i="34"/>
  <c r="BZ65" i="34"/>
  <c r="BZ66" i="34"/>
  <c r="BZ67" i="34"/>
  <c r="BZ68" i="34"/>
  <c r="BZ69" i="34"/>
  <c r="BZ70" i="34"/>
  <c r="BZ71" i="34"/>
  <c r="BZ72" i="34"/>
  <c r="BZ73" i="34"/>
  <c r="BZ74" i="34"/>
  <c r="BZ75" i="34"/>
  <c r="BZ76" i="34"/>
  <c r="BZ77" i="34"/>
  <c r="BZ78" i="34"/>
  <c r="BZ79" i="34"/>
  <c r="BZ80" i="34"/>
  <c r="BZ81" i="34"/>
  <c r="BZ82" i="34"/>
  <c r="BZ83" i="34"/>
  <c r="BZ84" i="34"/>
  <c r="BZ85" i="34"/>
  <c r="BZ86" i="34"/>
  <c r="BZ87" i="34"/>
  <c r="BZ88" i="34"/>
  <c r="BZ89" i="34"/>
  <c r="BY12" i="34"/>
  <c r="BY13" i="34"/>
  <c r="BY14" i="34"/>
  <c r="BY15" i="34"/>
  <c r="BY16" i="34"/>
  <c r="BY17" i="34"/>
  <c r="BY18" i="34"/>
  <c r="BY19" i="34"/>
  <c r="BY20" i="34"/>
  <c r="BY21" i="34"/>
  <c r="BY22" i="34"/>
  <c r="BY23" i="34"/>
  <c r="BY24" i="34"/>
  <c r="BY25" i="34"/>
  <c r="BY26" i="34"/>
  <c r="BY27" i="34"/>
  <c r="BY28" i="34"/>
  <c r="BY29" i="34"/>
  <c r="BY30" i="34"/>
  <c r="BY31" i="34"/>
  <c r="BY32" i="34"/>
  <c r="BY33" i="34"/>
  <c r="BY34" i="34"/>
  <c r="BY35" i="34"/>
  <c r="BY36" i="34"/>
  <c r="BY37" i="34"/>
  <c r="BY38" i="34"/>
  <c r="BY39" i="34"/>
  <c r="BY40" i="34"/>
  <c r="BY41" i="34"/>
  <c r="BY42" i="34"/>
  <c r="BY43" i="34"/>
  <c r="BY44" i="34"/>
  <c r="BY45" i="34"/>
  <c r="BY46" i="34"/>
  <c r="BY47" i="34"/>
  <c r="BY48" i="34"/>
  <c r="BY49" i="34"/>
  <c r="BY50" i="34"/>
  <c r="BY51" i="34"/>
  <c r="BY52" i="34"/>
  <c r="BY53" i="34"/>
  <c r="BY54" i="34"/>
  <c r="BY55" i="34"/>
  <c r="BY56" i="34"/>
  <c r="BY57" i="34"/>
  <c r="BY58" i="34"/>
  <c r="BY59" i="34"/>
  <c r="BY60" i="34"/>
  <c r="BY61" i="34"/>
  <c r="BY62" i="34"/>
  <c r="BY63" i="34"/>
  <c r="BY64" i="34"/>
  <c r="BY65" i="34"/>
  <c r="BY66" i="34"/>
  <c r="BY67" i="34"/>
  <c r="BY68" i="34"/>
  <c r="BY69" i="34"/>
  <c r="BY70" i="34"/>
  <c r="BY71" i="34"/>
  <c r="BY72" i="34"/>
  <c r="BY73" i="34"/>
  <c r="BY74" i="34"/>
  <c r="BY75" i="34"/>
  <c r="BY76" i="34"/>
  <c r="BY77" i="34"/>
  <c r="BY78" i="34"/>
  <c r="BY79" i="34"/>
  <c r="BY80" i="34"/>
  <c r="BY81" i="34"/>
  <c r="BY82" i="34"/>
  <c r="BY83" i="34"/>
  <c r="BY84" i="34"/>
  <c r="BY85" i="34"/>
  <c r="BY86" i="34"/>
  <c r="BY87" i="34"/>
  <c r="BY88" i="34"/>
  <c r="BY89" i="34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S67" i="33"/>
  <c r="S68" i="33"/>
  <c r="S69" i="33"/>
  <c r="S70" i="33"/>
  <c r="S71" i="33"/>
  <c r="S72" i="33"/>
  <c r="S73" i="33"/>
  <c r="S74" i="33"/>
  <c r="S75" i="33"/>
  <c r="S76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R12" i="33"/>
  <c r="R13" i="33"/>
  <c r="R14" i="33"/>
  <c r="R15" i="33"/>
  <c r="R16" i="33"/>
  <c r="R17" i="33"/>
  <c r="R18" i="33"/>
  <c r="R19" i="33"/>
  <c r="R20" i="33"/>
  <c r="R21" i="33"/>
  <c r="R22" i="33"/>
  <c r="R23" i="33"/>
  <c r="R24" i="33"/>
  <c r="R25" i="33"/>
  <c r="R26" i="33"/>
  <c r="R27" i="33"/>
  <c r="R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R45" i="33"/>
  <c r="R46" i="33"/>
  <c r="R47" i="33"/>
  <c r="R48" i="33"/>
  <c r="R49" i="33"/>
  <c r="R50" i="33"/>
  <c r="R51" i="33"/>
  <c r="R52" i="33"/>
  <c r="R53" i="33"/>
  <c r="R54" i="33"/>
  <c r="R55" i="33"/>
  <c r="R56" i="33"/>
  <c r="R57" i="33"/>
  <c r="R58" i="33"/>
  <c r="R59" i="33"/>
  <c r="R60" i="33"/>
  <c r="R61" i="33"/>
  <c r="R62" i="33"/>
  <c r="R63" i="33"/>
  <c r="R64" i="33"/>
  <c r="R65" i="33"/>
  <c r="R66" i="33"/>
  <c r="R67" i="33"/>
  <c r="R68" i="33"/>
  <c r="R69" i="33"/>
  <c r="R70" i="33"/>
  <c r="R71" i="33"/>
  <c r="R72" i="33"/>
  <c r="R73" i="33"/>
  <c r="R74" i="33"/>
  <c r="R75" i="33"/>
  <c r="R76" i="33"/>
  <c r="R77" i="33"/>
  <c r="R78" i="33"/>
  <c r="R79" i="33"/>
  <c r="R80" i="33"/>
  <c r="R81" i="33"/>
  <c r="R82" i="33"/>
  <c r="R83" i="33"/>
  <c r="R84" i="33"/>
  <c r="R85" i="33"/>
  <c r="R86" i="33"/>
  <c r="R87" i="33"/>
  <c r="R88" i="33"/>
  <c r="R89" i="33"/>
  <c r="Q12" i="33"/>
  <c r="Q13" i="33"/>
  <c r="Q14" i="33"/>
  <c r="Q15" i="33"/>
  <c r="Q16" i="33"/>
  <c r="Q17" i="33"/>
  <c r="Q18" i="33"/>
  <c r="Q19" i="33"/>
  <c r="Q20" i="33"/>
  <c r="Q21" i="33"/>
  <c r="Q22" i="33"/>
  <c r="Q23" i="33"/>
  <c r="Q24" i="33"/>
  <c r="Q25" i="33"/>
  <c r="Q26" i="33"/>
  <c r="Q27" i="33"/>
  <c r="Q28" i="33"/>
  <c r="Q29" i="33"/>
  <c r="Q30" i="33"/>
  <c r="Q31" i="33"/>
  <c r="Q32" i="33"/>
  <c r="Q33" i="33"/>
  <c r="Q34" i="33"/>
  <c r="Q35" i="33"/>
  <c r="Q36" i="33"/>
  <c r="Q37" i="33"/>
  <c r="Q38" i="33"/>
  <c r="Q39" i="33"/>
  <c r="Q40" i="33"/>
  <c r="Q41" i="33"/>
  <c r="Q42" i="33"/>
  <c r="Q43" i="33"/>
  <c r="Q44" i="33"/>
  <c r="Q45" i="33"/>
  <c r="Q46" i="33"/>
  <c r="Q47" i="33"/>
  <c r="Q48" i="33"/>
  <c r="Q49" i="33"/>
  <c r="Q50" i="33"/>
  <c r="Q51" i="33"/>
  <c r="Q52" i="33"/>
  <c r="Q53" i="33"/>
  <c r="Q54" i="33"/>
  <c r="Q55" i="33"/>
  <c r="Q56" i="33"/>
  <c r="Q57" i="33"/>
  <c r="Q58" i="33"/>
  <c r="Q59" i="33"/>
  <c r="Q60" i="33"/>
  <c r="Q61" i="33"/>
  <c r="Q62" i="33"/>
  <c r="Q63" i="33"/>
  <c r="Q64" i="33"/>
  <c r="Q65" i="33"/>
  <c r="Q66" i="33"/>
  <c r="Q67" i="33"/>
  <c r="Q68" i="33"/>
  <c r="Q69" i="33"/>
  <c r="Q70" i="33"/>
  <c r="Q71" i="33"/>
  <c r="Q72" i="33"/>
  <c r="Q73" i="33"/>
  <c r="Q74" i="33"/>
  <c r="Q75" i="33"/>
  <c r="Q76" i="33"/>
  <c r="Q77" i="33"/>
  <c r="Q78" i="33"/>
  <c r="Q79" i="33"/>
  <c r="Q80" i="33"/>
  <c r="Q81" i="33"/>
  <c r="Q82" i="33"/>
  <c r="Q83" i="33"/>
  <c r="Q84" i="33"/>
  <c r="Q85" i="33"/>
  <c r="Q86" i="33"/>
  <c r="Q87" i="33"/>
  <c r="Q88" i="33"/>
  <c r="Q89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1" i="33"/>
  <c r="P42" i="33"/>
  <c r="P43" i="33"/>
  <c r="P44" i="33"/>
  <c r="P45" i="33"/>
  <c r="P46" i="33"/>
  <c r="P47" i="33"/>
  <c r="P48" i="33"/>
  <c r="P49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7" i="33"/>
  <c r="P88" i="33"/>
  <c r="P89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37" i="33"/>
  <c r="N38" i="33"/>
  <c r="N39" i="33"/>
  <c r="N40" i="33"/>
  <c r="N41" i="33"/>
  <c r="N42" i="33"/>
  <c r="N43" i="33"/>
  <c r="N44" i="33"/>
  <c r="N45" i="33"/>
  <c r="N46" i="33"/>
  <c r="N47" i="33"/>
  <c r="N48" i="33"/>
  <c r="N49" i="33"/>
  <c r="N50" i="33"/>
  <c r="N51" i="33"/>
  <c r="N52" i="33"/>
  <c r="N53" i="33"/>
  <c r="N54" i="33"/>
  <c r="N55" i="33"/>
  <c r="N56" i="33"/>
  <c r="N57" i="33"/>
  <c r="N58" i="33"/>
  <c r="N59" i="33"/>
  <c r="N60" i="33"/>
  <c r="N61" i="33"/>
  <c r="N62" i="33"/>
  <c r="N63" i="33"/>
  <c r="N64" i="33"/>
  <c r="N65" i="33"/>
  <c r="N66" i="33"/>
  <c r="N67" i="33"/>
  <c r="N68" i="33"/>
  <c r="N69" i="33"/>
  <c r="N70" i="33"/>
  <c r="N71" i="33"/>
  <c r="N72" i="33"/>
  <c r="N73" i="33"/>
  <c r="N74" i="33"/>
  <c r="N75" i="33"/>
  <c r="N76" i="33"/>
  <c r="N77" i="33"/>
  <c r="N78" i="33"/>
  <c r="N79" i="33"/>
  <c r="N80" i="33"/>
  <c r="N81" i="33"/>
  <c r="N82" i="33"/>
  <c r="N83" i="33"/>
  <c r="N84" i="33"/>
  <c r="N85" i="33"/>
  <c r="N86" i="33"/>
  <c r="N87" i="33"/>
  <c r="N88" i="33"/>
  <c r="N89" i="33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S67" i="32"/>
  <c r="S68" i="32"/>
  <c r="S69" i="32"/>
  <c r="S70" i="32"/>
  <c r="S71" i="32"/>
  <c r="S72" i="32"/>
  <c r="S73" i="32"/>
  <c r="S74" i="32"/>
  <c r="S75" i="32"/>
  <c r="S76" i="32"/>
  <c r="S77" i="32"/>
  <c r="S78" i="32"/>
  <c r="S79" i="32"/>
  <c r="S80" i="32"/>
  <c r="S81" i="32"/>
  <c r="S82" i="32"/>
  <c r="S83" i="32"/>
  <c r="S84" i="32"/>
  <c r="S85" i="32"/>
  <c r="S86" i="32"/>
  <c r="S87" i="32"/>
  <c r="S88" i="32"/>
  <c r="S89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6" i="32"/>
  <c r="R27" i="32"/>
  <c r="R28" i="32"/>
  <c r="R29" i="32"/>
  <c r="R30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58" i="32"/>
  <c r="R59" i="32"/>
  <c r="R60" i="32"/>
  <c r="R61" i="32"/>
  <c r="R62" i="32"/>
  <c r="R63" i="32"/>
  <c r="R64" i="32"/>
  <c r="R65" i="32"/>
  <c r="R66" i="32"/>
  <c r="R67" i="32"/>
  <c r="R68" i="32"/>
  <c r="R69" i="32"/>
  <c r="R70" i="32"/>
  <c r="R71" i="32"/>
  <c r="R72" i="32"/>
  <c r="R73" i="32"/>
  <c r="R74" i="32"/>
  <c r="R75" i="32"/>
  <c r="R76" i="32"/>
  <c r="R77" i="32"/>
  <c r="R78" i="32"/>
  <c r="R79" i="32"/>
  <c r="R80" i="32"/>
  <c r="R81" i="32"/>
  <c r="R82" i="32"/>
  <c r="R83" i="32"/>
  <c r="R84" i="32"/>
  <c r="R85" i="32"/>
  <c r="R86" i="32"/>
  <c r="R87" i="32"/>
  <c r="R88" i="32"/>
  <c r="R89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36" i="32"/>
  <c r="Q37" i="32"/>
  <c r="Q38" i="32"/>
  <c r="Q39" i="32"/>
  <c r="Q40" i="32"/>
  <c r="Q41" i="32"/>
  <c r="Q42" i="32"/>
  <c r="Q43" i="32"/>
  <c r="Q44" i="32"/>
  <c r="Q45" i="32"/>
  <c r="Q46" i="32"/>
  <c r="Q47" i="32"/>
  <c r="Q48" i="32"/>
  <c r="Q49" i="32"/>
  <c r="Q50" i="32"/>
  <c r="Q51" i="32"/>
  <c r="Q52" i="32"/>
  <c r="Q53" i="32"/>
  <c r="Q54" i="32"/>
  <c r="Q55" i="32"/>
  <c r="Q56" i="32"/>
  <c r="Q57" i="32"/>
  <c r="Q58" i="32"/>
  <c r="Q59" i="32"/>
  <c r="Q60" i="32"/>
  <c r="Q61" i="32"/>
  <c r="Q62" i="32"/>
  <c r="Q63" i="32"/>
  <c r="Q64" i="32"/>
  <c r="Q65" i="32"/>
  <c r="Q66" i="32"/>
  <c r="Q67" i="32"/>
  <c r="Q68" i="32"/>
  <c r="Q69" i="32"/>
  <c r="Q70" i="32"/>
  <c r="Q71" i="32"/>
  <c r="Q72" i="32"/>
  <c r="Q73" i="32"/>
  <c r="Q74" i="32"/>
  <c r="Q75" i="32"/>
  <c r="Q76" i="32"/>
  <c r="Q77" i="32"/>
  <c r="Q78" i="32"/>
  <c r="Q79" i="32"/>
  <c r="Q80" i="32"/>
  <c r="Q81" i="32"/>
  <c r="Q82" i="32"/>
  <c r="Q83" i="32"/>
  <c r="Q84" i="32"/>
  <c r="Q85" i="32"/>
  <c r="Q86" i="32"/>
  <c r="Q87" i="32"/>
  <c r="Q88" i="32"/>
  <c r="Q89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5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0" i="25"/>
  <c r="AH71" i="25"/>
  <c r="AH72" i="25"/>
  <c r="AH73" i="25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G12" i="25"/>
  <c r="AG13" i="25"/>
  <c r="AG14" i="25"/>
  <c r="AG15" i="25"/>
  <c r="AG16" i="25"/>
  <c r="AG17" i="25"/>
  <c r="AG18" i="25"/>
  <c r="AG19" i="25"/>
  <c r="AG20" i="25"/>
  <c r="AG21" i="25"/>
  <c r="AG22" i="25"/>
  <c r="AG23" i="25"/>
  <c r="AG24" i="25"/>
  <c r="AG25" i="25"/>
  <c r="AG26" i="25"/>
  <c r="AG27" i="25"/>
  <c r="AG28" i="25"/>
  <c r="AG29" i="25"/>
  <c r="AG30" i="25"/>
  <c r="AG31" i="25"/>
  <c r="AG32" i="25"/>
  <c r="AG33" i="25"/>
  <c r="AG34" i="25"/>
  <c r="AG35" i="25"/>
  <c r="AG36" i="25"/>
  <c r="AG37" i="25"/>
  <c r="AG38" i="25"/>
  <c r="AG39" i="25"/>
  <c r="AG40" i="25"/>
  <c r="AG41" i="25"/>
  <c r="AG42" i="25"/>
  <c r="AG43" i="25"/>
  <c r="AG44" i="25"/>
  <c r="AG45" i="25"/>
  <c r="AG46" i="25"/>
  <c r="AG47" i="25"/>
  <c r="AG48" i="25"/>
  <c r="AG49" i="25"/>
  <c r="AG50" i="25"/>
  <c r="AG51" i="25"/>
  <c r="AG52" i="25"/>
  <c r="AG53" i="25"/>
  <c r="AG54" i="25"/>
  <c r="AG55" i="25"/>
  <c r="AG56" i="25"/>
  <c r="AG57" i="25"/>
  <c r="AG58" i="25"/>
  <c r="AG59" i="25"/>
  <c r="AG60" i="25"/>
  <c r="AG61" i="25"/>
  <c r="AG62" i="25"/>
  <c r="AG63" i="25"/>
  <c r="AG64" i="25"/>
  <c r="AG65" i="25"/>
  <c r="AG66" i="25"/>
  <c r="AG67" i="25"/>
  <c r="AG68" i="25"/>
  <c r="AG69" i="25"/>
  <c r="AG70" i="25"/>
  <c r="AG71" i="25"/>
  <c r="AG72" i="25"/>
  <c r="AG73" i="25"/>
  <c r="AG74" i="25"/>
  <c r="AG75" i="25"/>
  <c r="AG76" i="25"/>
  <c r="AG77" i="25"/>
  <c r="AG78" i="25"/>
  <c r="AG79" i="25"/>
  <c r="AG80" i="25"/>
  <c r="AG81" i="25"/>
  <c r="AG82" i="25"/>
  <c r="AG83" i="25"/>
  <c r="AG84" i="25"/>
  <c r="AG85" i="25"/>
  <c r="AG86" i="25"/>
  <c r="AG87" i="25"/>
  <c r="AG88" i="25"/>
  <c r="AG89" i="25"/>
  <c r="AF12" i="25"/>
  <c r="AF13" i="25"/>
  <c r="AF14" i="25"/>
  <c r="AF15" i="25"/>
  <c r="AF16" i="25"/>
  <c r="AF17" i="25"/>
  <c r="AF18" i="25"/>
  <c r="AF19" i="25"/>
  <c r="AF20" i="25"/>
  <c r="AF21" i="25"/>
  <c r="AF22" i="25"/>
  <c r="AF23" i="25"/>
  <c r="AF24" i="25"/>
  <c r="AF25" i="25"/>
  <c r="AF26" i="25"/>
  <c r="AF27" i="25"/>
  <c r="AF28" i="25"/>
  <c r="AF29" i="25"/>
  <c r="AF30" i="25"/>
  <c r="AF31" i="25"/>
  <c r="AF32" i="25"/>
  <c r="AF33" i="25"/>
  <c r="AF34" i="25"/>
  <c r="AF35" i="25"/>
  <c r="AF36" i="25"/>
  <c r="AF37" i="25"/>
  <c r="AF38" i="25"/>
  <c r="AF39" i="25"/>
  <c r="AF40" i="25"/>
  <c r="AF41" i="25"/>
  <c r="AF42" i="25"/>
  <c r="AF43" i="25"/>
  <c r="AF44" i="25"/>
  <c r="AF45" i="25"/>
  <c r="AF46" i="25"/>
  <c r="AF47" i="25"/>
  <c r="AF48" i="25"/>
  <c r="AF49" i="25"/>
  <c r="AF50" i="25"/>
  <c r="AF51" i="25"/>
  <c r="AF52" i="25"/>
  <c r="AF53" i="25"/>
  <c r="AF54" i="25"/>
  <c r="AF55" i="25"/>
  <c r="AF56" i="25"/>
  <c r="AF57" i="25"/>
  <c r="AF58" i="25"/>
  <c r="AF59" i="25"/>
  <c r="AF60" i="25"/>
  <c r="AF61" i="25"/>
  <c r="AF62" i="25"/>
  <c r="AF63" i="25"/>
  <c r="AF64" i="25"/>
  <c r="AF65" i="25"/>
  <c r="AF66" i="25"/>
  <c r="AF67" i="25"/>
  <c r="AF68" i="25"/>
  <c r="AF69" i="25"/>
  <c r="AF70" i="25"/>
  <c r="AF71" i="25"/>
  <c r="AF72" i="25"/>
  <c r="AF73" i="25"/>
  <c r="AF74" i="25"/>
  <c r="AF75" i="25"/>
  <c r="AF76" i="25"/>
  <c r="AF77" i="25"/>
  <c r="AF78" i="25"/>
  <c r="AF79" i="25"/>
  <c r="AF80" i="25"/>
  <c r="AF81" i="25"/>
  <c r="AF82" i="25"/>
  <c r="AF83" i="25"/>
  <c r="AF84" i="25"/>
  <c r="AF85" i="25"/>
  <c r="AF86" i="25"/>
  <c r="AF87" i="25"/>
  <c r="AF88" i="25"/>
  <c r="AF89" i="25"/>
  <c r="AE12" i="25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8" i="25"/>
  <c r="AE29" i="25"/>
  <c r="AE30" i="25"/>
  <c r="AE31" i="25"/>
  <c r="AE32" i="25"/>
  <c r="AE33" i="25"/>
  <c r="AE34" i="25"/>
  <c r="AE35" i="25"/>
  <c r="AE36" i="25"/>
  <c r="AE37" i="25"/>
  <c r="AE38" i="25"/>
  <c r="AE39" i="25"/>
  <c r="AE40" i="25"/>
  <c r="AE41" i="25"/>
  <c r="AE42" i="25"/>
  <c r="AE43" i="25"/>
  <c r="AE44" i="25"/>
  <c r="AE45" i="25"/>
  <c r="AE46" i="25"/>
  <c r="AE47" i="25"/>
  <c r="AE48" i="25"/>
  <c r="AE49" i="25"/>
  <c r="AE50" i="25"/>
  <c r="AE51" i="25"/>
  <c r="AE52" i="25"/>
  <c r="AE53" i="25"/>
  <c r="AE54" i="25"/>
  <c r="AE55" i="25"/>
  <c r="AE56" i="25"/>
  <c r="AE57" i="25"/>
  <c r="AE58" i="25"/>
  <c r="AE59" i="25"/>
  <c r="AE60" i="25"/>
  <c r="AE61" i="25"/>
  <c r="AE62" i="25"/>
  <c r="AE63" i="25"/>
  <c r="AE64" i="25"/>
  <c r="AE65" i="25"/>
  <c r="AE66" i="25"/>
  <c r="AE67" i="25"/>
  <c r="AE68" i="25"/>
  <c r="AE69" i="25"/>
  <c r="AE70" i="25"/>
  <c r="AE71" i="25"/>
  <c r="AE72" i="25"/>
  <c r="AE73" i="25"/>
  <c r="AE74" i="25"/>
  <c r="AE75" i="25"/>
  <c r="AE76" i="25"/>
  <c r="AE77" i="25"/>
  <c r="AE78" i="25"/>
  <c r="AE79" i="25"/>
  <c r="AE80" i="25"/>
  <c r="AE81" i="25"/>
  <c r="AE82" i="25"/>
  <c r="AE83" i="25"/>
  <c r="AE84" i="25"/>
  <c r="AE85" i="25"/>
  <c r="AE86" i="25"/>
  <c r="AE87" i="25"/>
  <c r="AE88" i="25"/>
  <c r="AE89" i="25"/>
  <c r="AD12" i="25"/>
  <c r="AD13" i="25"/>
  <c r="AD14" i="25"/>
  <c r="AD15" i="25"/>
  <c r="AD16" i="25"/>
  <c r="AD17" i="25"/>
  <c r="AD18" i="25"/>
  <c r="AD19" i="25"/>
  <c r="AD20" i="25"/>
  <c r="AD21" i="25"/>
  <c r="AD22" i="25"/>
  <c r="AD23" i="25"/>
  <c r="AD24" i="25"/>
  <c r="AD25" i="25"/>
  <c r="AD26" i="25"/>
  <c r="AD27" i="25"/>
  <c r="AD28" i="25"/>
  <c r="AD29" i="25"/>
  <c r="AD30" i="25"/>
  <c r="AD31" i="25"/>
  <c r="AD32" i="25"/>
  <c r="AD33" i="25"/>
  <c r="AD34" i="25"/>
  <c r="AD35" i="25"/>
  <c r="AD36" i="25"/>
  <c r="AD37" i="25"/>
  <c r="AD38" i="25"/>
  <c r="AD39" i="25"/>
  <c r="AD40" i="25"/>
  <c r="AD41" i="25"/>
  <c r="AD42" i="25"/>
  <c r="AD43" i="25"/>
  <c r="AD44" i="25"/>
  <c r="AD45" i="25"/>
  <c r="AD46" i="25"/>
  <c r="AD47" i="25"/>
  <c r="AD48" i="25"/>
  <c r="AD49" i="25"/>
  <c r="AD50" i="25"/>
  <c r="AD51" i="25"/>
  <c r="AD52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65" i="25"/>
  <c r="AD66" i="25"/>
  <c r="AD67" i="25"/>
  <c r="AD68" i="25"/>
  <c r="AD69" i="25"/>
  <c r="AD70" i="25"/>
  <c r="AD71" i="25"/>
  <c r="AD72" i="25"/>
  <c r="AD73" i="25"/>
  <c r="AD74" i="25"/>
  <c r="AD75" i="25"/>
  <c r="AD76" i="25"/>
  <c r="AD77" i="25"/>
  <c r="AD78" i="25"/>
  <c r="AD79" i="25"/>
  <c r="AD80" i="25"/>
  <c r="AD81" i="25"/>
  <c r="AD82" i="25"/>
  <c r="AD83" i="25"/>
  <c r="AD84" i="25"/>
  <c r="AD85" i="25"/>
  <c r="AD86" i="25"/>
  <c r="AD87" i="25"/>
  <c r="AD88" i="25"/>
  <c r="AD89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28" i="25"/>
  <c r="AC29" i="25"/>
  <c r="AC30" i="25"/>
  <c r="AC31" i="25"/>
  <c r="AC32" i="25"/>
  <c r="AC33" i="25"/>
  <c r="AC34" i="25"/>
  <c r="AC35" i="25"/>
  <c r="AC36" i="25"/>
  <c r="AC37" i="25"/>
  <c r="AC38" i="25"/>
  <c r="AC39" i="25"/>
  <c r="AC40" i="25"/>
  <c r="AC41" i="25"/>
  <c r="AC42" i="25"/>
  <c r="AC43" i="25"/>
  <c r="AC44" i="25"/>
  <c r="AC45" i="25"/>
  <c r="AC46" i="25"/>
  <c r="AC47" i="25"/>
  <c r="AC48" i="25"/>
  <c r="AC49" i="25"/>
  <c r="AC50" i="25"/>
  <c r="AC51" i="25"/>
  <c r="AC52" i="25"/>
  <c r="AC53" i="25"/>
  <c r="AC54" i="25"/>
  <c r="AC55" i="25"/>
  <c r="AC56" i="25"/>
  <c r="AC57" i="25"/>
  <c r="AC58" i="25"/>
  <c r="AC59" i="25"/>
  <c r="AC60" i="25"/>
  <c r="AC61" i="25"/>
  <c r="AC62" i="25"/>
  <c r="AC63" i="25"/>
  <c r="AC64" i="25"/>
  <c r="AC65" i="25"/>
  <c r="AC66" i="25"/>
  <c r="AC67" i="25"/>
  <c r="AC68" i="25"/>
  <c r="AC69" i="25"/>
  <c r="AC70" i="25"/>
  <c r="AC71" i="25"/>
  <c r="AC72" i="25"/>
  <c r="AC73" i="25"/>
  <c r="AC74" i="25"/>
  <c r="AC75" i="25"/>
  <c r="AC76" i="25"/>
  <c r="AC77" i="25"/>
  <c r="AC78" i="25"/>
  <c r="AC79" i="25"/>
  <c r="AC80" i="25"/>
  <c r="AC81" i="25"/>
  <c r="AC82" i="25"/>
  <c r="AC83" i="25"/>
  <c r="AC84" i="25"/>
  <c r="AC85" i="25"/>
  <c r="AC86" i="25"/>
  <c r="AC87" i="25"/>
  <c r="AC88" i="25"/>
  <c r="AC89" i="25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H42" i="24"/>
  <c r="AH43" i="24"/>
  <c r="AH44" i="24"/>
  <c r="AH45" i="24"/>
  <c r="AH46" i="24"/>
  <c r="AH47" i="24"/>
  <c r="AH48" i="24"/>
  <c r="AH49" i="24"/>
  <c r="AH50" i="24"/>
  <c r="AH51" i="24"/>
  <c r="AH52" i="24"/>
  <c r="AH53" i="24"/>
  <c r="AH54" i="24"/>
  <c r="AH55" i="24"/>
  <c r="AH56" i="24"/>
  <c r="AH57" i="24"/>
  <c r="AH58" i="24"/>
  <c r="AH59" i="24"/>
  <c r="AH60" i="24"/>
  <c r="AH61" i="24"/>
  <c r="AH62" i="24"/>
  <c r="AH63" i="24"/>
  <c r="AH64" i="24"/>
  <c r="AH65" i="24"/>
  <c r="AH66" i="24"/>
  <c r="AH67" i="24"/>
  <c r="AH68" i="24"/>
  <c r="AH69" i="24"/>
  <c r="AH70" i="24"/>
  <c r="AH71" i="24"/>
  <c r="AH72" i="24"/>
  <c r="AH73" i="24"/>
  <c r="AH74" i="24"/>
  <c r="AH75" i="24"/>
  <c r="AH76" i="24"/>
  <c r="AH77" i="24"/>
  <c r="AH78" i="24"/>
  <c r="AH79" i="24"/>
  <c r="AH80" i="24"/>
  <c r="AH81" i="24"/>
  <c r="AH82" i="24"/>
  <c r="AH83" i="24"/>
  <c r="AH84" i="24"/>
  <c r="AH85" i="24"/>
  <c r="AH86" i="24"/>
  <c r="AH87" i="24"/>
  <c r="AH88" i="24"/>
  <c r="AH89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G32" i="24"/>
  <c r="AG33" i="24"/>
  <c r="AG34" i="24"/>
  <c r="AG35" i="24"/>
  <c r="AG36" i="24"/>
  <c r="AG37" i="24"/>
  <c r="AG38" i="24"/>
  <c r="AG39" i="24"/>
  <c r="AG40" i="24"/>
  <c r="AG41" i="24"/>
  <c r="AG42" i="24"/>
  <c r="AG43" i="24"/>
  <c r="AG44" i="24"/>
  <c r="AG45" i="24"/>
  <c r="AG46" i="24"/>
  <c r="AG47" i="24"/>
  <c r="AG48" i="24"/>
  <c r="AG49" i="24"/>
  <c r="AG50" i="24"/>
  <c r="AG51" i="24"/>
  <c r="AG52" i="24"/>
  <c r="AG53" i="24"/>
  <c r="AG54" i="24"/>
  <c r="AG55" i="24"/>
  <c r="AG56" i="24"/>
  <c r="AG57" i="24"/>
  <c r="AG58" i="24"/>
  <c r="AG59" i="24"/>
  <c r="AG60" i="24"/>
  <c r="AG61" i="24"/>
  <c r="AG62" i="24"/>
  <c r="AG63" i="24"/>
  <c r="AG64" i="24"/>
  <c r="AG65" i="24"/>
  <c r="AG66" i="24"/>
  <c r="AG67" i="24"/>
  <c r="AG68" i="24"/>
  <c r="AG69" i="24"/>
  <c r="AG70" i="24"/>
  <c r="AG71" i="24"/>
  <c r="AG72" i="24"/>
  <c r="AG73" i="24"/>
  <c r="AG74" i="24"/>
  <c r="AG75" i="24"/>
  <c r="AG76" i="24"/>
  <c r="AG77" i="24"/>
  <c r="AG78" i="24"/>
  <c r="AG79" i="24"/>
  <c r="AG80" i="24"/>
  <c r="AG81" i="24"/>
  <c r="AG82" i="24"/>
  <c r="AG83" i="24"/>
  <c r="AG84" i="24"/>
  <c r="AG85" i="24"/>
  <c r="AG86" i="24"/>
  <c r="AG87" i="24"/>
  <c r="AG88" i="24"/>
  <c r="AG89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F42" i="24"/>
  <c r="AF43" i="24"/>
  <c r="AF44" i="24"/>
  <c r="AF45" i="24"/>
  <c r="AF46" i="24"/>
  <c r="AF47" i="24"/>
  <c r="AF48" i="24"/>
  <c r="AF49" i="24"/>
  <c r="AF50" i="24"/>
  <c r="AF51" i="24"/>
  <c r="AF52" i="24"/>
  <c r="AF53" i="24"/>
  <c r="AF54" i="24"/>
  <c r="AF55" i="24"/>
  <c r="AF56" i="24"/>
  <c r="AF57" i="24"/>
  <c r="AF58" i="24"/>
  <c r="AF59" i="24"/>
  <c r="AF60" i="24"/>
  <c r="AF61" i="24"/>
  <c r="AF62" i="24"/>
  <c r="AF63" i="24"/>
  <c r="AF64" i="24"/>
  <c r="AF65" i="24"/>
  <c r="AF66" i="24"/>
  <c r="AF67" i="24"/>
  <c r="AF68" i="24"/>
  <c r="AF69" i="24"/>
  <c r="AF70" i="24"/>
  <c r="AF71" i="24"/>
  <c r="AF72" i="24"/>
  <c r="AF73" i="24"/>
  <c r="AF74" i="24"/>
  <c r="AF75" i="24"/>
  <c r="AF76" i="24"/>
  <c r="AF77" i="24"/>
  <c r="AF78" i="24"/>
  <c r="AF79" i="24"/>
  <c r="AF80" i="24"/>
  <c r="AF81" i="24"/>
  <c r="AF82" i="24"/>
  <c r="AF83" i="24"/>
  <c r="AF84" i="24"/>
  <c r="AF85" i="24"/>
  <c r="AF86" i="24"/>
  <c r="AF87" i="24"/>
  <c r="AF88" i="24"/>
  <c r="AF89" i="24"/>
  <c r="AE12" i="24"/>
  <c r="AE13" i="24"/>
  <c r="AE14" i="24"/>
  <c r="AE15" i="24"/>
  <c r="AE16" i="24"/>
  <c r="AE17" i="24"/>
  <c r="AE18" i="24"/>
  <c r="AE19" i="24"/>
  <c r="AE20" i="24"/>
  <c r="AE21" i="24"/>
  <c r="AE22" i="24"/>
  <c r="AE23" i="24"/>
  <c r="AE24" i="24"/>
  <c r="AE25" i="24"/>
  <c r="AE26" i="24"/>
  <c r="AE27" i="24"/>
  <c r="AE28" i="24"/>
  <c r="AE29" i="24"/>
  <c r="AE30" i="24"/>
  <c r="AE31" i="24"/>
  <c r="AE32" i="24"/>
  <c r="AE33" i="24"/>
  <c r="AE34" i="24"/>
  <c r="AE35" i="24"/>
  <c r="AE36" i="24"/>
  <c r="AE37" i="24"/>
  <c r="AE38" i="24"/>
  <c r="AE39" i="24"/>
  <c r="AE40" i="24"/>
  <c r="AE41" i="24"/>
  <c r="AE42" i="24"/>
  <c r="AE43" i="24"/>
  <c r="AE44" i="24"/>
  <c r="AE45" i="24"/>
  <c r="AE46" i="24"/>
  <c r="AE47" i="24"/>
  <c r="AE48" i="24"/>
  <c r="AE49" i="24"/>
  <c r="AE50" i="24"/>
  <c r="AE51" i="24"/>
  <c r="AE52" i="24"/>
  <c r="AE53" i="24"/>
  <c r="AE54" i="24"/>
  <c r="AE55" i="24"/>
  <c r="AE56" i="24"/>
  <c r="AE57" i="24"/>
  <c r="AE58" i="24"/>
  <c r="AE59" i="24"/>
  <c r="AE60" i="24"/>
  <c r="AE61" i="24"/>
  <c r="AE62" i="24"/>
  <c r="AE63" i="24"/>
  <c r="AE64" i="24"/>
  <c r="AE65" i="24"/>
  <c r="AE66" i="24"/>
  <c r="AE67" i="24"/>
  <c r="AE68" i="24"/>
  <c r="AE69" i="24"/>
  <c r="AE70" i="24"/>
  <c r="AE71" i="24"/>
  <c r="AE72" i="24"/>
  <c r="AE73" i="24"/>
  <c r="AE74" i="24"/>
  <c r="AE75" i="24"/>
  <c r="AE76" i="24"/>
  <c r="AE77" i="24"/>
  <c r="AE78" i="24"/>
  <c r="AE79" i="24"/>
  <c r="AE80" i="24"/>
  <c r="AE81" i="24"/>
  <c r="AE82" i="24"/>
  <c r="AE83" i="24"/>
  <c r="AE84" i="24"/>
  <c r="AE85" i="24"/>
  <c r="AE86" i="24"/>
  <c r="AE87" i="24"/>
  <c r="AE88" i="24"/>
  <c r="AE89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48" i="24"/>
  <c r="AD49" i="24"/>
  <c r="AD50" i="24"/>
  <c r="AD51" i="24"/>
  <c r="AD52" i="24"/>
  <c r="AD53" i="24"/>
  <c r="AD54" i="24"/>
  <c r="AD55" i="24"/>
  <c r="AD56" i="24"/>
  <c r="AD57" i="24"/>
  <c r="AD58" i="24"/>
  <c r="AD59" i="24"/>
  <c r="AD60" i="24"/>
  <c r="AD61" i="24"/>
  <c r="AD62" i="24"/>
  <c r="AD63" i="24"/>
  <c r="AD64" i="24"/>
  <c r="AD65" i="24"/>
  <c r="AD66" i="24"/>
  <c r="AD67" i="24"/>
  <c r="AD68" i="24"/>
  <c r="AD69" i="24"/>
  <c r="AD70" i="24"/>
  <c r="AD71" i="24"/>
  <c r="AD72" i="24"/>
  <c r="AD73" i="24"/>
  <c r="AD74" i="24"/>
  <c r="AD75" i="24"/>
  <c r="AD76" i="24"/>
  <c r="AD77" i="24"/>
  <c r="AD78" i="24"/>
  <c r="AD79" i="24"/>
  <c r="AD80" i="24"/>
  <c r="AD81" i="24"/>
  <c r="AD82" i="24"/>
  <c r="AD83" i="24"/>
  <c r="AD84" i="24"/>
  <c r="AD85" i="24"/>
  <c r="AD86" i="24"/>
  <c r="AD87" i="24"/>
  <c r="AD88" i="24"/>
  <c r="AD89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C44" i="24"/>
  <c r="AC45" i="24"/>
  <c r="AC46" i="24"/>
  <c r="AC47" i="24"/>
  <c r="AC48" i="24"/>
  <c r="AC49" i="24"/>
  <c r="AC50" i="24"/>
  <c r="AC51" i="24"/>
  <c r="AC52" i="24"/>
  <c r="AC53" i="24"/>
  <c r="AC54" i="24"/>
  <c r="AC55" i="24"/>
  <c r="AC56" i="24"/>
  <c r="AC57" i="24"/>
  <c r="AC58" i="24"/>
  <c r="AC59" i="24"/>
  <c r="AC60" i="24"/>
  <c r="AC61" i="24"/>
  <c r="AC62" i="24"/>
  <c r="AC63" i="24"/>
  <c r="AC64" i="24"/>
  <c r="AC65" i="24"/>
  <c r="AC66" i="24"/>
  <c r="AC67" i="24"/>
  <c r="AC68" i="24"/>
  <c r="AC69" i="24"/>
  <c r="AC70" i="24"/>
  <c r="AC71" i="24"/>
  <c r="AC72" i="24"/>
  <c r="AC73" i="24"/>
  <c r="AC74" i="24"/>
  <c r="AC75" i="24"/>
  <c r="AC76" i="24"/>
  <c r="AC77" i="24"/>
  <c r="AC78" i="24"/>
  <c r="AC79" i="24"/>
  <c r="AC80" i="24"/>
  <c r="AC81" i="24"/>
  <c r="AC82" i="24"/>
  <c r="AC83" i="24"/>
  <c r="AC84" i="24"/>
  <c r="AC85" i="24"/>
  <c r="AC86" i="24"/>
  <c r="AC87" i="24"/>
  <c r="AC88" i="24"/>
  <c r="AC89" i="24"/>
</calcChain>
</file>

<file path=xl/sharedStrings.xml><?xml version="1.0" encoding="utf-8"?>
<sst xmlns="http://schemas.openxmlformats.org/spreadsheetml/2006/main" count="3289" uniqueCount="281">
  <si>
    <t>Sample ID --&gt;</t>
  </si>
  <si>
    <t>LV058</t>
  </si>
  <si>
    <t>LV074</t>
  </si>
  <si>
    <t>LV118</t>
  </si>
  <si>
    <t>LV122</t>
  </si>
  <si>
    <t>LV208</t>
  </si>
  <si>
    <t>LV210</t>
  </si>
  <si>
    <t>LV007</t>
  </si>
  <si>
    <t>LV008</t>
  </si>
  <si>
    <t>LV0223</t>
  </si>
  <si>
    <t>LV0224</t>
  </si>
  <si>
    <t>LV023</t>
  </si>
  <si>
    <t>LV0239</t>
  </si>
  <si>
    <t>LV024</t>
  </si>
  <si>
    <t>LV0240</t>
  </si>
  <si>
    <t>LV029</t>
  </si>
  <si>
    <t>LV030</t>
  </si>
  <si>
    <t>Patient ID</t>
  </si>
  <si>
    <t>A0016</t>
  </si>
  <si>
    <t>A0054</t>
  </si>
  <si>
    <t>A0108</t>
  </si>
  <si>
    <t>A0115</t>
  </si>
  <si>
    <t>A0275</t>
  </si>
  <si>
    <t>A0285</t>
  </si>
  <si>
    <t>H0015</t>
  </si>
  <si>
    <t>H0028</t>
  </si>
  <si>
    <t>H0035</t>
  </si>
  <si>
    <t>LVAD</t>
  </si>
  <si>
    <t>Sex</t>
  </si>
  <si>
    <t>F</t>
  </si>
  <si>
    <t>Blood Group</t>
  </si>
  <si>
    <t>A</t>
  </si>
  <si>
    <t>O</t>
  </si>
  <si>
    <t>B</t>
  </si>
  <si>
    <t>AB</t>
  </si>
  <si>
    <t>Region</t>
  </si>
  <si>
    <t>Anterior</t>
  </si>
  <si>
    <t>Posterior</t>
  </si>
  <si>
    <t>Huachen Etiology</t>
  </si>
  <si>
    <t>Check</t>
  </si>
  <si>
    <t>NFC</t>
  </si>
  <si>
    <t>Mobin Etiology</t>
  </si>
  <si>
    <t>HCM</t>
  </si>
  <si>
    <t>Cohort</t>
  </si>
  <si>
    <t>HELP</t>
  </si>
  <si>
    <t>HOPE</t>
  </si>
  <si>
    <t>Huachen's project</t>
  </si>
  <si>
    <t>Mobin's project</t>
  </si>
  <si>
    <t>SNA-I EY</t>
  </si>
  <si>
    <t>SNA Vector</t>
  </si>
  <si>
    <t xml:space="preserve">BPL Vector </t>
  </si>
  <si>
    <t>MAA-I 1 Vector</t>
  </si>
  <si>
    <t>DBA 1 Vector</t>
  </si>
  <si>
    <t>SLBR-N 1 UAlberta</t>
  </si>
  <si>
    <t>HPA 1 Sigma</t>
  </si>
  <si>
    <t>GSL-II 1 Vector</t>
  </si>
  <si>
    <t>ConA ThermoFisher</t>
  </si>
  <si>
    <t>ECA</t>
  </si>
  <si>
    <t>DSA Vector</t>
  </si>
  <si>
    <t>AIA Glycomatrix</t>
  </si>
  <si>
    <t xml:space="preserve">ConA 1 Vector </t>
  </si>
  <si>
    <t>LTL Lotus EY</t>
  </si>
  <si>
    <t>UEA-I Vector</t>
  </si>
  <si>
    <t>LTL Lotus Vector</t>
  </si>
  <si>
    <t>PHA-E Vector</t>
  </si>
  <si>
    <t>PNA EY</t>
  </si>
  <si>
    <t>PSA Vector</t>
  </si>
  <si>
    <t>inf</t>
  </si>
  <si>
    <t>WGA GeneTex</t>
  </si>
  <si>
    <t>UEA-I BioWorld</t>
  </si>
  <si>
    <t>UEA-I GeneTex</t>
  </si>
  <si>
    <t>ACA EY</t>
  </si>
  <si>
    <t>HPA 2 Sigma</t>
  </si>
  <si>
    <t>TJA-II Aniara</t>
  </si>
  <si>
    <t>diCBM40 UAlberta</t>
  </si>
  <si>
    <t>AOL TCI America</t>
  </si>
  <si>
    <t>Griffithsin UAlberta</t>
  </si>
  <si>
    <t>SLBR-H UAlberta</t>
  </si>
  <si>
    <t>SLBR-B UAlberta</t>
  </si>
  <si>
    <t>AIA EY</t>
  </si>
  <si>
    <t>BanLec H84T UAlberta</t>
  </si>
  <si>
    <t>GSL-II 2 Vector</t>
  </si>
  <si>
    <t>VVA Vector</t>
  </si>
  <si>
    <t>WFA Vector</t>
  </si>
  <si>
    <t>DBA 2 Vector</t>
  </si>
  <si>
    <t>GNA 1 Vector</t>
  </si>
  <si>
    <t>SNA-II EY</t>
  </si>
  <si>
    <t>HHL BioWorld</t>
  </si>
  <si>
    <t>LcH EY</t>
  </si>
  <si>
    <t>AIA 2 Vector</t>
  </si>
  <si>
    <t>GNA 2 Vector</t>
  </si>
  <si>
    <t>ECA EY</t>
  </si>
  <si>
    <t>RCA120 Vector</t>
  </si>
  <si>
    <t>Ricin B Vector</t>
  </si>
  <si>
    <t>MNA-G EY</t>
  </si>
  <si>
    <t>MAL-II Vector</t>
  </si>
  <si>
    <t>rPSL1a TCI America</t>
  </si>
  <si>
    <t>PNA Vector</t>
  </si>
  <si>
    <t>UEA-II BioWorld</t>
  </si>
  <si>
    <t>TJA-II Medicago</t>
  </si>
  <si>
    <t>MNA-M EY</t>
  </si>
  <si>
    <t>AAL Medicago</t>
  </si>
  <si>
    <t>PHA-L 2 Vector</t>
  </si>
  <si>
    <t>LEL Vector</t>
  </si>
  <si>
    <t>PHA-L Medicago</t>
  </si>
  <si>
    <t>Protein A Thermo Fisher</t>
  </si>
  <si>
    <t>Protein G Sigma</t>
  </si>
  <si>
    <t>Protein L ThermoFisher</t>
  </si>
  <si>
    <t>Anti Gal1</t>
  </si>
  <si>
    <t>Anti Mac2</t>
  </si>
  <si>
    <t>Anti Polysialic Acid</t>
  </si>
  <si>
    <t>Anti Lewis X Sigma</t>
  </si>
  <si>
    <t>Anti Lewis Y Abcam</t>
  </si>
  <si>
    <t>Anti Lewis B Sigma</t>
  </si>
  <si>
    <t>Anti Lewis A Abcam</t>
  </si>
  <si>
    <t>Anti Lewis B Abcam</t>
  </si>
  <si>
    <t>Anti B.G.B Abcam</t>
  </si>
  <si>
    <t>Anti B.G.B ThermoFisher</t>
  </si>
  <si>
    <t>Anti B.G.H ThermoFisher</t>
  </si>
  <si>
    <t>Anti Polysialic Acid 2</t>
  </si>
  <si>
    <t>Anti IgA Abcam</t>
  </si>
  <si>
    <t>Anti IgG Abcam</t>
  </si>
  <si>
    <t>Anti IgM Abcam</t>
  </si>
  <si>
    <t>Anti Heparan Sulfate 2</t>
  </si>
  <si>
    <t>Anti Gal1 2</t>
  </si>
  <si>
    <t>Anti Mac2 2</t>
  </si>
  <si>
    <t>Anti Gal3 2</t>
  </si>
  <si>
    <t>Difference</t>
  </si>
  <si>
    <t>TTest</t>
  </si>
  <si>
    <t>Log2diff</t>
  </si>
  <si>
    <t>-Log10p</t>
  </si>
  <si>
    <t>Index</t>
  </si>
  <si>
    <t>LV057</t>
  </si>
  <si>
    <t>LV073</t>
  </si>
  <si>
    <t>LV117</t>
  </si>
  <si>
    <t>LV121</t>
  </si>
  <si>
    <t>LV207</t>
  </si>
  <si>
    <t>LV209</t>
  </si>
  <si>
    <t>LV063</t>
  </si>
  <si>
    <t>LV064</t>
  </si>
  <si>
    <t>LV087</t>
  </si>
  <si>
    <t>LV088</t>
  </si>
  <si>
    <t>LV089</t>
  </si>
  <si>
    <t>LV090</t>
  </si>
  <si>
    <t>LV097</t>
  </si>
  <si>
    <t>LV098</t>
  </si>
  <si>
    <t>LV123</t>
  </si>
  <si>
    <t>LV124</t>
  </si>
  <si>
    <t>LV133</t>
  </si>
  <si>
    <t>LV134</t>
  </si>
  <si>
    <t>LV143</t>
  </si>
  <si>
    <t>LV144</t>
  </si>
  <si>
    <t>LV179</t>
  </si>
  <si>
    <t>LV180</t>
  </si>
  <si>
    <t>LV197</t>
  </si>
  <si>
    <t>LV198</t>
  </si>
  <si>
    <t>LV199</t>
  </si>
  <si>
    <t>LV200</t>
  </si>
  <si>
    <t>LV201</t>
  </si>
  <si>
    <t>LV202</t>
  </si>
  <si>
    <t>LV215</t>
  </si>
  <si>
    <t>LV216</t>
  </si>
  <si>
    <t>LV001</t>
  </si>
  <si>
    <t>LV002</t>
  </si>
  <si>
    <t>LV009</t>
  </si>
  <si>
    <t>LV010</t>
  </si>
  <si>
    <t>LV013</t>
  </si>
  <si>
    <t>LV014</t>
  </si>
  <si>
    <t>LV015</t>
  </si>
  <si>
    <t>LV016</t>
  </si>
  <si>
    <t>LV0217</t>
  </si>
  <si>
    <t>LV0218</t>
  </si>
  <si>
    <t>LV0225</t>
  </si>
  <si>
    <t>LV0226</t>
  </si>
  <si>
    <t>LV0229</t>
  </si>
  <si>
    <t>LV0230</t>
  </si>
  <si>
    <t>LV0231</t>
  </si>
  <si>
    <t>LV0232</t>
  </si>
  <si>
    <t>LV027</t>
  </si>
  <si>
    <t>LV028</t>
  </si>
  <si>
    <t>LV039</t>
  </si>
  <si>
    <t>LV040</t>
  </si>
  <si>
    <t>LV047</t>
  </si>
  <si>
    <t>LV048</t>
  </si>
  <si>
    <t>LV055</t>
  </si>
  <si>
    <t>LV056</t>
  </si>
  <si>
    <t>LV069</t>
  </si>
  <si>
    <t>LV070</t>
  </si>
  <si>
    <t>LV085</t>
  </si>
  <si>
    <t>LV086</t>
  </si>
  <si>
    <t>LV031</t>
  </si>
  <si>
    <t>LV032</t>
  </si>
  <si>
    <t>LV035</t>
  </si>
  <si>
    <t>LV036</t>
  </si>
  <si>
    <t>LV043</t>
  </si>
  <si>
    <t>LV044</t>
  </si>
  <si>
    <t>LV045</t>
  </si>
  <si>
    <t>LV046</t>
  </si>
  <si>
    <t>LV049</t>
  </si>
  <si>
    <t>LV050</t>
  </si>
  <si>
    <t>LV051</t>
  </si>
  <si>
    <t>LV052</t>
  </si>
  <si>
    <t>LV053</t>
  </si>
  <si>
    <t>LV054</t>
  </si>
  <si>
    <t>LV081</t>
  </si>
  <si>
    <t>LV082</t>
  </si>
  <si>
    <t>A0041</t>
  </si>
  <si>
    <t>A0068</t>
  </si>
  <si>
    <t>A0070</t>
  </si>
  <si>
    <t>A0076</t>
  </si>
  <si>
    <t>A0117</t>
  </si>
  <si>
    <t>A0126</t>
  </si>
  <si>
    <t>A0142</t>
  </si>
  <si>
    <t>A0207</t>
  </si>
  <si>
    <t>A0246</t>
  </si>
  <si>
    <t>A0254</t>
  </si>
  <si>
    <t>A0257</t>
  </si>
  <si>
    <t>A0296</t>
  </si>
  <si>
    <t>H0004</t>
  </si>
  <si>
    <t>H0017</t>
  </si>
  <si>
    <t>H0021</t>
  </si>
  <si>
    <t>H0023</t>
  </si>
  <si>
    <t>H0031</t>
  </si>
  <si>
    <t>H0043</t>
  </si>
  <si>
    <t>H0055</t>
  </si>
  <si>
    <t>H0062</t>
  </si>
  <si>
    <t>A0049</t>
  </si>
  <si>
    <t>A0067</t>
  </si>
  <si>
    <t>H0036</t>
  </si>
  <si>
    <t>H0040</t>
  </si>
  <si>
    <t>H0049</t>
  </si>
  <si>
    <t>H0053</t>
  </si>
  <si>
    <t>H0056</t>
  </si>
  <si>
    <t>H0058</t>
  </si>
  <si>
    <t>H0061</t>
  </si>
  <si>
    <t>A0062</t>
  </si>
  <si>
    <t>M</t>
  </si>
  <si>
    <t>A+</t>
  </si>
  <si>
    <t>To be updated</t>
  </si>
  <si>
    <t>Not available</t>
  </si>
  <si>
    <t>LVH</t>
  </si>
  <si>
    <t>Avg. of HCM</t>
  </si>
  <si>
    <t>Avg. of LVH</t>
  </si>
  <si>
    <t>Avg. of NFC</t>
  </si>
  <si>
    <t>LV006</t>
  </si>
  <si>
    <t>LV012</t>
  </si>
  <si>
    <t>LV018</t>
  </si>
  <si>
    <t>LV020</t>
  </si>
  <si>
    <t>LV022</t>
  </si>
  <si>
    <t>LV0222</t>
  </si>
  <si>
    <t>LV0228</t>
  </si>
  <si>
    <t>LV0234</t>
  </si>
  <si>
    <t>LV0236</t>
  </si>
  <si>
    <t>LV0238</t>
  </si>
  <si>
    <t>LV026</t>
  </si>
  <si>
    <t>LV034</t>
  </si>
  <si>
    <t>LV038</t>
  </si>
  <si>
    <t>LV042</t>
  </si>
  <si>
    <t>H0009</t>
  </si>
  <si>
    <t>H0019</t>
  </si>
  <si>
    <t>H0024</t>
  </si>
  <si>
    <t>H0025</t>
  </si>
  <si>
    <t>H0026</t>
  </si>
  <si>
    <t>H0029</t>
  </si>
  <si>
    <t>H0037</t>
  </si>
  <si>
    <t>H0041</t>
  </si>
  <si>
    <t>H0045</t>
  </si>
  <si>
    <t>LV005</t>
  </si>
  <si>
    <t>LV011</t>
  </si>
  <si>
    <t>LV017</t>
  </si>
  <si>
    <t>LV019</t>
  </si>
  <si>
    <t>LV021</t>
  </si>
  <si>
    <t>LV0221</t>
  </si>
  <si>
    <t>LV0227</t>
  </si>
  <si>
    <t>LV0233</t>
  </si>
  <si>
    <t>LV0235</t>
  </si>
  <si>
    <t>LV0237</t>
  </si>
  <si>
    <t>LV025</t>
  </si>
  <si>
    <t>LV033</t>
  </si>
  <si>
    <t>LV037</t>
  </si>
  <si>
    <t>LV041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</si>
</sst>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2E6C8"/>
        <bgColor indexed="64"/>
      </patternFill>
    </fill>
    <fill>
      <patternFill patternType="solid">
        <fgColor rgb="FFD1E6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0A50-E8C2-1B4C-B608-8A62D4666C54}">
  <dimension ref="A1:CP89"/>
  <sheetViews>
    <sheetView tabSelected="1" workbookViewId="0">
      <selection activeCell="H12" sqref="H12"/>
    </sheetView>
  </sheetViews>
  <sheetFormatPr baseColWidth="10" defaultRowHeight="16" x14ac:dyDescent="0.2"/>
  <cols>
    <col min="1" max="1" width="21" bestFit="1" customWidth="1"/>
    <col min="2" max="81" width="12.83203125" bestFit="1" customWidth="1"/>
    <col min="83" max="84" width="12.83203125" bestFit="1" customWidth="1"/>
    <col min="85" max="86" width="12.1640625" bestFit="1" customWidth="1"/>
    <col min="87" max="87" width="12.83203125" bestFit="1" customWidth="1"/>
    <col min="88" max="88" width="12.1640625" bestFit="1" customWidth="1"/>
    <col min="89" max="89" width="21" bestFit="1" customWidth="1"/>
    <col min="92" max="92" width="21" bestFit="1" customWidth="1"/>
    <col min="93" max="93" width="12.83203125" bestFit="1" customWidth="1"/>
    <col min="94" max="94" width="12.1640625" bestFit="1" customWidth="1"/>
  </cols>
  <sheetData>
    <row r="1" spans="1:94" x14ac:dyDescent="0.2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132</v>
      </c>
      <c r="AU1" t="s">
        <v>1</v>
      </c>
      <c r="AV1" t="s">
        <v>133</v>
      </c>
      <c r="AW1" t="s">
        <v>2</v>
      </c>
      <c r="AX1" t="s">
        <v>134</v>
      </c>
      <c r="AY1" t="s">
        <v>3</v>
      </c>
      <c r="AZ1" t="s">
        <v>135</v>
      </c>
      <c r="BA1" t="s">
        <v>4</v>
      </c>
      <c r="BB1" t="s">
        <v>136</v>
      </c>
      <c r="BC1" t="s">
        <v>5</v>
      </c>
      <c r="BD1" t="s">
        <v>137</v>
      </c>
      <c r="BE1" t="s">
        <v>6</v>
      </c>
      <c r="BF1" t="s">
        <v>138</v>
      </c>
      <c r="BG1" t="s">
        <v>139</v>
      </c>
      <c r="BH1" t="s">
        <v>140</v>
      </c>
      <c r="BI1" t="s">
        <v>141</v>
      </c>
      <c r="BJ1" t="s">
        <v>142</v>
      </c>
      <c r="BK1" t="s">
        <v>143</v>
      </c>
      <c r="BL1" t="s">
        <v>144</v>
      </c>
      <c r="BM1" t="s">
        <v>145</v>
      </c>
      <c r="BN1" t="s">
        <v>146</v>
      </c>
      <c r="BO1" t="s">
        <v>147</v>
      </c>
      <c r="BP1" t="s">
        <v>148</v>
      </c>
      <c r="BQ1" t="s">
        <v>149</v>
      </c>
      <c r="BR1" t="s">
        <v>150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N1" s="3" t="s">
        <v>131</v>
      </c>
      <c r="CO1" s="3" t="s">
        <v>129</v>
      </c>
      <c r="CP1" s="3" t="s">
        <v>130</v>
      </c>
    </row>
    <row r="2" spans="1:94" x14ac:dyDescent="0.2">
      <c r="A2" t="s">
        <v>17</v>
      </c>
      <c r="B2" t="s">
        <v>218</v>
      </c>
      <c r="C2" t="s">
        <v>218</v>
      </c>
      <c r="D2" t="s">
        <v>219</v>
      </c>
      <c r="E2" t="s">
        <v>219</v>
      </c>
      <c r="F2" t="s">
        <v>220</v>
      </c>
      <c r="G2" t="s">
        <v>220</v>
      </c>
      <c r="H2" t="s">
        <v>221</v>
      </c>
      <c r="I2" t="s">
        <v>221</v>
      </c>
      <c r="J2" t="s">
        <v>218</v>
      </c>
      <c r="K2" t="s">
        <v>218</v>
      </c>
      <c r="L2" t="s">
        <v>219</v>
      </c>
      <c r="M2" t="s">
        <v>219</v>
      </c>
      <c r="N2" t="s">
        <v>220</v>
      </c>
      <c r="O2" t="s">
        <v>220</v>
      </c>
      <c r="P2" t="s">
        <v>221</v>
      </c>
      <c r="Q2" t="s">
        <v>221</v>
      </c>
      <c r="R2" t="s">
        <v>222</v>
      </c>
      <c r="S2" t="s">
        <v>222</v>
      </c>
      <c r="T2" t="s">
        <v>223</v>
      </c>
      <c r="U2" t="s">
        <v>223</v>
      </c>
      <c r="V2" t="s">
        <v>224</v>
      </c>
      <c r="W2" t="s">
        <v>224</v>
      </c>
      <c r="X2" t="s">
        <v>225</v>
      </c>
      <c r="Y2" t="s">
        <v>225</v>
      </c>
      <c r="Z2" t="s">
        <v>226</v>
      </c>
      <c r="AA2" t="s">
        <v>226</v>
      </c>
      <c r="AB2" t="s">
        <v>227</v>
      </c>
      <c r="AC2" t="s">
        <v>227</v>
      </c>
      <c r="AD2" t="s">
        <v>228</v>
      </c>
      <c r="AE2" t="s">
        <v>228</v>
      </c>
      <c r="AF2" t="s">
        <v>229</v>
      </c>
      <c r="AG2" t="s">
        <v>229</v>
      </c>
      <c r="AH2" t="s">
        <v>230</v>
      </c>
      <c r="AI2" t="s">
        <v>230</v>
      </c>
      <c r="AJ2" t="s">
        <v>231</v>
      </c>
      <c r="AK2" t="s">
        <v>231</v>
      </c>
      <c r="AL2" t="s">
        <v>232</v>
      </c>
      <c r="AM2" t="s">
        <v>232</v>
      </c>
      <c r="AN2" t="s">
        <v>233</v>
      </c>
      <c r="AO2" t="s">
        <v>233</v>
      </c>
      <c r="AP2" t="s">
        <v>234</v>
      </c>
      <c r="AQ2" t="s">
        <v>234</v>
      </c>
      <c r="AR2" t="s">
        <v>235</v>
      </c>
      <c r="AS2" t="s">
        <v>235</v>
      </c>
      <c r="AT2" t="s">
        <v>18</v>
      </c>
      <c r="AU2" t="s">
        <v>18</v>
      </c>
      <c r="AV2" t="s">
        <v>19</v>
      </c>
      <c r="AW2" t="s">
        <v>19</v>
      </c>
      <c r="AX2" t="s">
        <v>20</v>
      </c>
      <c r="AY2" t="s">
        <v>20</v>
      </c>
      <c r="AZ2" t="s">
        <v>21</v>
      </c>
      <c r="BA2" t="s">
        <v>21</v>
      </c>
      <c r="BB2" t="s">
        <v>22</v>
      </c>
      <c r="BC2" t="s">
        <v>22</v>
      </c>
      <c r="BD2" t="s">
        <v>23</v>
      </c>
      <c r="BE2" t="s">
        <v>23</v>
      </c>
      <c r="BF2" t="s">
        <v>206</v>
      </c>
      <c r="BG2" t="s">
        <v>206</v>
      </c>
      <c r="BH2" t="s">
        <v>207</v>
      </c>
      <c r="BI2" t="s">
        <v>207</v>
      </c>
      <c r="BJ2" t="s">
        <v>208</v>
      </c>
      <c r="BK2" t="s">
        <v>208</v>
      </c>
      <c r="BL2" t="s">
        <v>209</v>
      </c>
      <c r="BM2" t="s">
        <v>209</v>
      </c>
      <c r="BN2" t="s">
        <v>210</v>
      </c>
      <c r="BO2" t="s">
        <v>210</v>
      </c>
      <c r="BP2" t="s">
        <v>211</v>
      </c>
      <c r="BQ2" t="s">
        <v>211</v>
      </c>
      <c r="BR2" t="s">
        <v>212</v>
      </c>
      <c r="BS2" t="s">
        <v>212</v>
      </c>
      <c r="BT2" t="s">
        <v>213</v>
      </c>
      <c r="BU2" t="s">
        <v>213</v>
      </c>
      <c r="BV2" t="s">
        <v>214</v>
      </c>
      <c r="BW2" t="s">
        <v>214</v>
      </c>
      <c r="BX2" t="s">
        <v>215</v>
      </c>
      <c r="BY2" t="s">
        <v>215</v>
      </c>
      <c r="BZ2" t="s">
        <v>216</v>
      </c>
      <c r="CA2" t="s">
        <v>216</v>
      </c>
      <c r="CB2" t="s">
        <v>217</v>
      </c>
      <c r="CC2" t="s">
        <v>217</v>
      </c>
      <c r="CN2" t="s">
        <v>120</v>
      </c>
      <c r="CO2">
        <v>-0.623908863698728</v>
      </c>
      <c r="CP2">
        <v>2.6166879485101751</v>
      </c>
    </row>
    <row r="3" spans="1:94" x14ac:dyDescent="0.2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N3" t="s">
        <v>98</v>
      </c>
      <c r="CO3">
        <v>0.41899200637732831</v>
      </c>
      <c r="CP3">
        <v>2.0907771078979107</v>
      </c>
    </row>
    <row r="4" spans="1:94" x14ac:dyDescent="0.2">
      <c r="A4" t="s">
        <v>28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236</v>
      </c>
      <c r="AE4" t="s">
        <v>236</v>
      </c>
      <c r="AF4" t="s">
        <v>236</v>
      </c>
      <c r="AG4" t="s">
        <v>236</v>
      </c>
      <c r="AH4" t="s">
        <v>236</v>
      </c>
      <c r="AI4" t="s">
        <v>236</v>
      </c>
      <c r="AJ4" t="s">
        <v>236</v>
      </c>
      <c r="AK4" t="s">
        <v>236</v>
      </c>
      <c r="AL4" t="s">
        <v>236</v>
      </c>
      <c r="AM4" t="s">
        <v>236</v>
      </c>
      <c r="AN4" t="s">
        <v>236</v>
      </c>
      <c r="AO4" t="s">
        <v>236</v>
      </c>
      <c r="AP4" t="s">
        <v>236</v>
      </c>
      <c r="AQ4" t="s">
        <v>236</v>
      </c>
      <c r="AR4" t="s">
        <v>236</v>
      </c>
      <c r="AS4" t="s">
        <v>236</v>
      </c>
      <c r="AT4" t="s">
        <v>29</v>
      </c>
      <c r="AU4" t="s">
        <v>29</v>
      </c>
      <c r="AV4" t="s">
        <v>29</v>
      </c>
      <c r="AW4" t="s">
        <v>29</v>
      </c>
      <c r="AX4" t="s">
        <v>29</v>
      </c>
      <c r="AY4" t="s">
        <v>29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236</v>
      </c>
      <c r="BG4" t="s">
        <v>236</v>
      </c>
      <c r="BH4" t="s">
        <v>236</v>
      </c>
      <c r="BI4" t="s">
        <v>236</v>
      </c>
      <c r="BJ4" t="s">
        <v>236</v>
      </c>
      <c r="BK4" t="s">
        <v>236</v>
      </c>
      <c r="BL4" t="s">
        <v>236</v>
      </c>
      <c r="BM4" t="s">
        <v>236</v>
      </c>
      <c r="BN4" t="s">
        <v>236</v>
      </c>
      <c r="BO4" t="s">
        <v>236</v>
      </c>
      <c r="BP4" t="s">
        <v>236</v>
      </c>
      <c r="BQ4" t="s">
        <v>236</v>
      </c>
      <c r="BR4" t="s">
        <v>236</v>
      </c>
      <c r="BS4" t="s">
        <v>236</v>
      </c>
      <c r="BT4" t="s">
        <v>236</v>
      </c>
      <c r="BU4" t="s">
        <v>236</v>
      </c>
      <c r="BV4" t="s">
        <v>236</v>
      </c>
      <c r="BW4" t="s">
        <v>236</v>
      </c>
      <c r="BX4" t="s">
        <v>236</v>
      </c>
      <c r="BY4" t="s">
        <v>236</v>
      </c>
      <c r="BZ4" t="s">
        <v>236</v>
      </c>
      <c r="CA4" t="s">
        <v>236</v>
      </c>
      <c r="CB4" t="s">
        <v>236</v>
      </c>
      <c r="CC4" t="s">
        <v>236</v>
      </c>
      <c r="CN4" t="s">
        <v>92</v>
      </c>
      <c r="CO4">
        <v>-0.37781893434934605</v>
      </c>
      <c r="CP4">
        <v>1.7930442014456149</v>
      </c>
    </row>
    <row r="5" spans="1:94" x14ac:dyDescent="0.2">
      <c r="A5" t="s">
        <v>30</v>
      </c>
      <c r="B5" t="s">
        <v>32</v>
      </c>
      <c r="C5" t="s">
        <v>32</v>
      </c>
      <c r="D5" t="s">
        <v>32</v>
      </c>
      <c r="E5" t="s">
        <v>32</v>
      </c>
      <c r="F5" t="s">
        <v>31</v>
      </c>
      <c r="G5" t="s">
        <v>31</v>
      </c>
      <c r="H5" t="s">
        <v>31</v>
      </c>
      <c r="I5" t="s">
        <v>31</v>
      </c>
      <c r="J5" t="s">
        <v>32</v>
      </c>
      <c r="K5" t="s">
        <v>32</v>
      </c>
      <c r="L5" t="s">
        <v>32</v>
      </c>
      <c r="M5" t="s">
        <v>32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32</v>
      </c>
      <c r="W5" t="s">
        <v>32</v>
      </c>
      <c r="X5" t="s">
        <v>238</v>
      </c>
      <c r="Y5" t="s">
        <v>238</v>
      </c>
      <c r="Z5" t="s">
        <v>239</v>
      </c>
      <c r="AA5" t="s">
        <v>239</v>
      </c>
      <c r="AB5" t="s">
        <v>239</v>
      </c>
      <c r="AC5" t="s">
        <v>239</v>
      </c>
      <c r="AD5" t="s">
        <v>32</v>
      </c>
      <c r="AE5" t="s">
        <v>32</v>
      </c>
      <c r="AF5" t="s">
        <v>33</v>
      </c>
      <c r="AG5" t="s">
        <v>33</v>
      </c>
      <c r="AH5" t="s">
        <v>32</v>
      </c>
      <c r="AI5" t="s">
        <v>32</v>
      </c>
      <c r="AJ5" t="s">
        <v>31</v>
      </c>
      <c r="AK5" t="s">
        <v>31</v>
      </c>
      <c r="AL5" t="s">
        <v>32</v>
      </c>
      <c r="AM5" t="s">
        <v>32</v>
      </c>
      <c r="AN5" t="s">
        <v>31</v>
      </c>
      <c r="AO5" t="s">
        <v>31</v>
      </c>
      <c r="AP5" t="s">
        <v>237</v>
      </c>
      <c r="AQ5" t="s">
        <v>237</v>
      </c>
      <c r="AR5" t="s">
        <v>239</v>
      </c>
      <c r="AS5" t="s">
        <v>239</v>
      </c>
      <c r="AT5" t="s">
        <v>31</v>
      </c>
      <c r="AU5" t="s">
        <v>31</v>
      </c>
      <c r="AV5" t="s">
        <v>32</v>
      </c>
      <c r="AW5" t="s">
        <v>32</v>
      </c>
      <c r="AX5" t="s">
        <v>33</v>
      </c>
      <c r="AY5" t="s">
        <v>33</v>
      </c>
      <c r="AZ5" t="s">
        <v>32</v>
      </c>
      <c r="BA5" t="s">
        <v>32</v>
      </c>
      <c r="BB5" t="s">
        <v>32</v>
      </c>
      <c r="BC5" t="s">
        <v>32</v>
      </c>
      <c r="BD5" t="s">
        <v>32</v>
      </c>
      <c r="BE5" t="s">
        <v>32</v>
      </c>
      <c r="BF5" t="s">
        <v>32</v>
      </c>
      <c r="BG5" t="s">
        <v>32</v>
      </c>
      <c r="BH5" t="s">
        <v>33</v>
      </c>
      <c r="BI5" t="s">
        <v>33</v>
      </c>
      <c r="BJ5" t="s">
        <v>32</v>
      </c>
      <c r="BK5" t="s">
        <v>32</v>
      </c>
      <c r="BL5" t="s">
        <v>31</v>
      </c>
      <c r="BM5" t="s">
        <v>31</v>
      </c>
      <c r="BN5" t="s">
        <v>31</v>
      </c>
      <c r="BO5" t="s">
        <v>31</v>
      </c>
      <c r="BP5" t="s">
        <v>31</v>
      </c>
      <c r="BQ5" t="s">
        <v>31</v>
      </c>
      <c r="BR5" t="s">
        <v>33</v>
      </c>
      <c r="BS5" t="s">
        <v>33</v>
      </c>
      <c r="BT5" t="s">
        <v>32</v>
      </c>
      <c r="BU5" t="s">
        <v>32</v>
      </c>
      <c r="BV5" t="s">
        <v>31</v>
      </c>
      <c r="BW5" t="s">
        <v>31</v>
      </c>
      <c r="BX5" t="s">
        <v>31</v>
      </c>
      <c r="BY5" t="s">
        <v>31</v>
      </c>
      <c r="BZ5" t="s">
        <v>31</v>
      </c>
      <c r="CA5" t="s">
        <v>31</v>
      </c>
      <c r="CB5" t="s">
        <v>237</v>
      </c>
      <c r="CC5" t="s">
        <v>237</v>
      </c>
      <c r="CN5" t="s">
        <v>83</v>
      </c>
      <c r="CO5">
        <v>0.31704145470251494</v>
      </c>
      <c r="CP5">
        <v>1.7629970421283585</v>
      </c>
    </row>
    <row r="6" spans="1:94" x14ac:dyDescent="0.2">
      <c r="A6" t="s">
        <v>35</v>
      </c>
      <c r="B6" t="s">
        <v>36</v>
      </c>
      <c r="C6" t="s">
        <v>37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37</v>
      </c>
      <c r="J6" t="s">
        <v>36</v>
      </c>
      <c r="K6" t="s">
        <v>37</v>
      </c>
      <c r="L6" t="s">
        <v>36</v>
      </c>
      <c r="M6" t="s">
        <v>37</v>
      </c>
      <c r="N6" t="s">
        <v>36</v>
      </c>
      <c r="O6" t="s">
        <v>37</v>
      </c>
      <c r="P6" t="s">
        <v>36</v>
      </c>
      <c r="Q6" t="s">
        <v>37</v>
      </c>
      <c r="R6" t="s">
        <v>36</v>
      </c>
      <c r="S6" t="s">
        <v>37</v>
      </c>
      <c r="T6" t="s">
        <v>36</v>
      </c>
      <c r="U6" t="s">
        <v>37</v>
      </c>
      <c r="V6" t="s">
        <v>36</v>
      </c>
      <c r="W6" t="s">
        <v>37</v>
      </c>
      <c r="X6" t="s">
        <v>36</v>
      </c>
      <c r="Y6" t="s">
        <v>37</v>
      </c>
      <c r="Z6" t="s">
        <v>36</v>
      </c>
      <c r="AA6" t="s">
        <v>37</v>
      </c>
      <c r="AB6" t="s">
        <v>36</v>
      </c>
      <c r="AC6" t="s">
        <v>37</v>
      </c>
      <c r="AD6" t="s">
        <v>36</v>
      </c>
      <c r="AE6" t="s">
        <v>37</v>
      </c>
      <c r="AF6" t="s">
        <v>36</v>
      </c>
      <c r="AG6" t="s">
        <v>37</v>
      </c>
      <c r="AH6" t="s">
        <v>36</v>
      </c>
      <c r="AI6" t="s">
        <v>37</v>
      </c>
      <c r="AJ6" t="s">
        <v>36</v>
      </c>
      <c r="AK6" t="s">
        <v>37</v>
      </c>
      <c r="AL6" t="s">
        <v>36</v>
      </c>
      <c r="AM6" t="s">
        <v>37</v>
      </c>
      <c r="AN6" t="s">
        <v>36</v>
      </c>
      <c r="AO6" t="s">
        <v>37</v>
      </c>
      <c r="AP6" t="s">
        <v>36</v>
      </c>
      <c r="AQ6" t="s">
        <v>37</v>
      </c>
      <c r="AR6" t="s">
        <v>36</v>
      </c>
      <c r="AS6" t="s">
        <v>37</v>
      </c>
      <c r="AT6" t="s">
        <v>36</v>
      </c>
      <c r="AU6" t="s">
        <v>37</v>
      </c>
      <c r="AV6" t="s">
        <v>36</v>
      </c>
      <c r="AW6" t="s">
        <v>37</v>
      </c>
      <c r="AX6" t="s">
        <v>36</v>
      </c>
      <c r="AY6" t="s">
        <v>37</v>
      </c>
      <c r="AZ6" t="s">
        <v>36</v>
      </c>
      <c r="BA6" t="s">
        <v>37</v>
      </c>
      <c r="BB6" t="s">
        <v>36</v>
      </c>
      <c r="BC6" t="s">
        <v>37</v>
      </c>
      <c r="BD6" t="s">
        <v>36</v>
      </c>
      <c r="BE6" t="s">
        <v>37</v>
      </c>
      <c r="BF6" t="s">
        <v>36</v>
      </c>
      <c r="BG6" t="s">
        <v>37</v>
      </c>
      <c r="BH6" t="s">
        <v>36</v>
      </c>
      <c r="BI6" t="s">
        <v>37</v>
      </c>
      <c r="BJ6" t="s">
        <v>36</v>
      </c>
      <c r="BK6" t="s">
        <v>37</v>
      </c>
      <c r="BL6" t="s">
        <v>36</v>
      </c>
      <c r="BM6" t="s">
        <v>37</v>
      </c>
      <c r="BN6" t="s">
        <v>36</v>
      </c>
      <c r="BO6" t="s">
        <v>37</v>
      </c>
      <c r="BP6" t="s">
        <v>36</v>
      </c>
      <c r="BQ6" t="s">
        <v>37</v>
      </c>
      <c r="BR6" t="s">
        <v>36</v>
      </c>
      <c r="BS6" t="s">
        <v>37</v>
      </c>
      <c r="BT6" t="s">
        <v>36</v>
      </c>
      <c r="BU6" t="s">
        <v>37</v>
      </c>
      <c r="BV6" t="s">
        <v>36</v>
      </c>
      <c r="BW6" t="s">
        <v>37</v>
      </c>
      <c r="BX6" t="s">
        <v>36</v>
      </c>
      <c r="BY6" t="s">
        <v>37</v>
      </c>
      <c r="BZ6" t="s">
        <v>36</v>
      </c>
      <c r="CA6" t="s">
        <v>37</v>
      </c>
      <c r="CB6" t="s">
        <v>36</v>
      </c>
      <c r="CC6" t="s">
        <v>37</v>
      </c>
      <c r="CN6" t="s">
        <v>70</v>
      </c>
      <c r="CO6">
        <v>0.51970760673647876</v>
      </c>
      <c r="CP6">
        <v>1.6571573401253221</v>
      </c>
    </row>
    <row r="7" spans="1:94" x14ac:dyDescent="0.2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40</v>
      </c>
      <c r="AM7" t="s">
        <v>40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39</v>
      </c>
      <c r="AW7" t="s">
        <v>39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39</v>
      </c>
      <c r="BS7" t="s">
        <v>39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N7" t="s">
        <v>101</v>
      </c>
      <c r="CO7">
        <v>0.31828729422233082</v>
      </c>
      <c r="CP7">
        <v>1.3873319488165301</v>
      </c>
    </row>
    <row r="8" spans="1:94" x14ac:dyDescent="0.2">
      <c r="A8" t="s">
        <v>41</v>
      </c>
      <c r="B8" t="s">
        <v>240</v>
      </c>
      <c r="C8" t="s">
        <v>240</v>
      </c>
      <c r="D8" t="s">
        <v>240</v>
      </c>
      <c r="E8" t="s">
        <v>240</v>
      </c>
      <c r="F8" t="s">
        <v>240</v>
      </c>
      <c r="G8" t="s">
        <v>240</v>
      </c>
      <c r="H8" t="s">
        <v>240</v>
      </c>
      <c r="I8" t="s">
        <v>240</v>
      </c>
      <c r="J8" t="s">
        <v>240</v>
      </c>
      <c r="K8" t="s">
        <v>240</v>
      </c>
      <c r="L8" t="s">
        <v>240</v>
      </c>
      <c r="M8" t="s">
        <v>240</v>
      </c>
      <c r="N8" t="s">
        <v>240</v>
      </c>
      <c r="O8" t="s">
        <v>240</v>
      </c>
      <c r="P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Y8" t="s">
        <v>240</v>
      </c>
      <c r="Z8" t="s">
        <v>240</v>
      </c>
      <c r="AA8" t="s">
        <v>240</v>
      </c>
      <c r="AB8" t="s">
        <v>240</v>
      </c>
      <c r="AC8" t="s">
        <v>240</v>
      </c>
      <c r="AD8" t="s">
        <v>240</v>
      </c>
      <c r="AE8" t="s">
        <v>240</v>
      </c>
      <c r="AF8" t="s">
        <v>240</v>
      </c>
      <c r="AG8" t="s">
        <v>240</v>
      </c>
      <c r="AH8" t="s">
        <v>240</v>
      </c>
      <c r="AI8" t="s">
        <v>240</v>
      </c>
      <c r="AJ8" t="s">
        <v>240</v>
      </c>
      <c r="AK8" t="s">
        <v>240</v>
      </c>
      <c r="AL8" t="s">
        <v>240</v>
      </c>
      <c r="AM8" t="s">
        <v>240</v>
      </c>
      <c r="AN8" t="s">
        <v>240</v>
      </c>
      <c r="AO8" t="s">
        <v>240</v>
      </c>
      <c r="AP8" t="s">
        <v>240</v>
      </c>
      <c r="AQ8" t="s">
        <v>240</v>
      </c>
      <c r="AR8" t="s">
        <v>240</v>
      </c>
      <c r="AS8" t="s">
        <v>240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N8" t="s">
        <v>119</v>
      </c>
      <c r="CO8">
        <v>-0.45027399808187391</v>
      </c>
      <c r="CP8">
        <v>1.3003399808096325</v>
      </c>
    </row>
    <row r="9" spans="1:94" x14ac:dyDescent="0.2">
      <c r="A9" t="s">
        <v>43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N9" t="s">
        <v>93</v>
      </c>
      <c r="CO9">
        <v>-0.45884745381941289</v>
      </c>
      <c r="CP9">
        <v>1.2642732319687369</v>
      </c>
    </row>
    <row r="10" spans="1:94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N10" t="s">
        <v>85</v>
      </c>
      <c r="CO10">
        <v>0.42235986338101406</v>
      </c>
      <c r="CP10">
        <v>1.2431813997758134</v>
      </c>
    </row>
    <row r="11" spans="1:94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E11" s="3" t="s">
        <v>242</v>
      </c>
      <c r="CF11" s="3" t="s">
        <v>241</v>
      </c>
      <c r="CG11" s="3" t="s">
        <v>127</v>
      </c>
      <c r="CH11" s="3" t="s">
        <v>128</v>
      </c>
      <c r="CI11" s="3" t="s">
        <v>129</v>
      </c>
      <c r="CJ11" s="3" t="s">
        <v>130</v>
      </c>
      <c r="CK11" s="3" t="s">
        <v>131</v>
      </c>
      <c r="CN11" t="s">
        <v>103</v>
      </c>
      <c r="CO11">
        <v>-0.29770717842848998</v>
      </c>
      <c r="CP11">
        <v>1.1770779985086628</v>
      </c>
    </row>
    <row r="12" spans="1:94" x14ac:dyDescent="0.2">
      <c r="A12" t="s">
        <v>48</v>
      </c>
      <c r="B12" s="1">
        <v>1.8530937665472265</v>
      </c>
      <c r="C12" s="1">
        <v>-0.77967249414143347</v>
      </c>
      <c r="D12" s="1">
        <v>-1.1043379223006926</v>
      </c>
      <c r="E12" s="1">
        <v>-0.4703584317639235</v>
      </c>
      <c r="F12" s="1">
        <v>3.5438525804587506E-2</v>
      </c>
      <c r="G12" s="1">
        <v>-2.3386721448572512E-2</v>
      </c>
      <c r="H12" s="1">
        <v>0.73594823170348955</v>
      </c>
      <c r="I12" s="1">
        <v>-0.67472531879399456</v>
      </c>
      <c r="J12" s="1">
        <v>-0.56633661246438349</v>
      </c>
      <c r="K12" s="1">
        <v>-0.61726105015125854</v>
      </c>
      <c r="L12" s="1">
        <v>-1.1060819685446466</v>
      </c>
      <c r="M12" s="1">
        <v>-1.6859289464850835</v>
      </c>
      <c r="N12" s="1">
        <v>2.4016554768457667</v>
      </c>
      <c r="O12" s="1">
        <v>-0.54639885597884852</v>
      </c>
      <c r="P12" s="1">
        <v>-0.58141102276071743</v>
      </c>
      <c r="Q12" s="1">
        <v>0.26152021366701583</v>
      </c>
      <c r="R12" s="1">
        <v>0.3587444043854105</v>
      </c>
      <c r="S12" s="1">
        <v>-0.67052147169771448</v>
      </c>
      <c r="T12" s="1">
        <v>1.6545344009260166</v>
      </c>
      <c r="U12" s="1">
        <v>3.9732205719834464</v>
      </c>
      <c r="V12" s="1">
        <v>0.53503445953774542</v>
      </c>
      <c r="W12" s="1">
        <v>0.1207850444979085</v>
      </c>
      <c r="X12" s="1">
        <v>0.59664547942582047</v>
      </c>
      <c r="Y12" s="1">
        <v>0.94993123633833654</v>
      </c>
      <c r="Z12" s="1" t="s">
        <v>67</v>
      </c>
      <c r="AA12" s="1">
        <v>-1.5077011887144178</v>
      </c>
      <c r="AB12" s="1">
        <v>2.8015061625911124</v>
      </c>
      <c r="AC12" s="1">
        <v>2.1202724241007824</v>
      </c>
      <c r="AD12" s="1">
        <v>0.15234108067005653</v>
      </c>
      <c r="AE12" s="1">
        <v>-0.12528075637454611</v>
      </c>
      <c r="AF12" s="1">
        <v>0.66007097673563542</v>
      </c>
      <c r="AG12" s="1">
        <v>0.31873343232080648</v>
      </c>
      <c r="AH12" s="1">
        <v>-1.0810468337913666</v>
      </c>
      <c r="AI12" s="1">
        <v>0.74478715909730853</v>
      </c>
      <c r="AJ12" s="1">
        <v>1.0648857814225365</v>
      </c>
      <c r="AK12" s="1">
        <v>1.6503405801368365</v>
      </c>
      <c r="AL12" s="1">
        <v>6.2297446863281453E-2</v>
      </c>
      <c r="AM12" s="1">
        <v>-0.53915340883260043</v>
      </c>
      <c r="AN12" s="1">
        <v>0.2930904518383815</v>
      </c>
      <c r="AO12" s="1">
        <v>0.60639941136352049</v>
      </c>
      <c r="AP12" s="1">
        <v>0.70076483487984054</v>
      </c>
      <c r="AQ12" s="1">
        <v>7.9315023311886501E-2</v>
      </c>
      <c r="AR12" s="1">
        <v>-0.97678129513084089</v>
      </c>
      <c r="AS12" s="1">
        <v>0.65889855891519311</v>
      </c>
      <c r="AT12" s="2">
        <v>-0.31763981288480886</v>
      </c>
      <c r="AU12" s="2">
        <v>-0.25201390473310487</v>
      </c>
      <c r="AV12" s="2">
        <v>-1.9055689202069579</v>
      </c>
      <c r="AW12" s="2">
        <v>0.4645038759720681</v>
      </c>
      <c r="AX12" s="2">
        <v>-0.25397650184140586</v>
      </c>
      <c r="AY12" s="2">
        <v>9.1265746811821178E-3</v>
      </c>
      <c r="AZ12" s="2">
        <v>-0.55097119490798485</v>
      </c>
      <c r="BA12" s="2">
        <v>1.807264633588292</v>
      </c>
      <c r="BB12" s="2">
        <v>0.17971945466694464</v>
      </c>
      <c r="BC12" s="2">
        <v>0.16051533998753584</v>
      </c>
      <c r="BD12" s="2">
        <v>1.3783663369308135</v>
      </c>
      <c r="BE12" s="2">
        <v>-0.22098683199249056</v>
      </c>
      <c r="BF12" s="2">
        <v>1.0534429614420922</v>
      </c>
      <c r="BG12" s="2">
        <v>0.24286135527610711</v>
      </c>
      <c r="BH12" s="2">
        <v>-0.16695401918372488</v>
      </c>
      <c r="BI12" s="2">
        <v>1.9564484916976421</v>
      </c>
      <c r="BJ12" s="2">
        <v>1.9453596421077521</v>
      </c>
      <c r="BK12" s="2">
        <v>-3.4535778279741684E-2</v>
      </c>
      <c r="BL12" s="2">
        <v>-0.51671004370796592</v>
      </c>
      <c r="BM12" s="2">
        <v>0.3575633996700941</v>
      </c>
      <c r="BN12" s="2">
        <v>2.3587988486094522</v>
      </c>
      <c r="BO12" s="2">
        <v>-0.20122158682514288</v>
      </c>
      <c r="BP12" s="2">
        <v>-0.22548518557383887</v>
      </c>
      <c r="BQ12" s="2">
        <v>-3.1026016865052984E-2</v>
      </c>
      <c r="BR12" s="2">
        <v>0.75851275933157547</v>
      </c>
      <c r="BS12" s="2">
        <v>-0.11510661648916315</v>
      </c>
      <c r="BT12" s="2">
        <v>-1.1729983108316966</v>
      </c>
      <c r="BU12" s="2" t="s">
        <v>67</v>
      </c>
      <c r="BV12" s="2">
        <v>-0.91110741421611652</v>
      </c>
      <c r="BW12" s="2">
        <v>-0.59164017565709648</v>
      </c>
      <c r="BX12" s="2">
        <v>-0.70862026139860146</v>
      </c>
      <c r="BY12" s="2">
        <v>0.23016974261386797</v>
      </c>
      <c r="BZ12" s="2">
        <v>-1.4805899341104567</v>
      </c>
      <c r="CA12" s="2">
        <v>4.7356680322237471E-2</v>
      </c>
      <c r="CB12" s="2">
        <v>0.87618479318057552</v>
      </c>
      <c r="CC12" s="2">
        <v>1.7179007118624634</v>
      </c>
      <c r="CE12">
        <f t="shared" ref="CE12:CE43" si="0">AVERAGE(B12:AS12)</f>
        <v>0.28683420550081185</v>
      </c>
      <c r="CF12">
        <f t="shared" ref="CF12:CF43" si="1">AVERAGE(AT12:CC12)</f>
        <v>0.16819837406386703</v>
      </c>
      <c r="CG12">
        <f t="shared" ref="CG12:CG43" si="2">2^(CE12 - CF12)</f>
        <v>1.0857077647568225</v>
      </c>
      <c r="CH12">
        <f t="shared" ref="CH12:CH43" si="3">_xlfn.T.TEST(B12:AS12,AT12:CC12, 2, 3)</f>
        <v>0.62983524176972527</v>
      </c>
      <c r="CI12">
        <f t="shared" ref="CI12:CI43" si="4">LOG(CG12,2)</f>
        <v>0.11863583143694484</v>
      </c>
      <c r="CJ12">
        <f t="shared" ref="CJ12:CJ43" si="5">-LOG(CH12,10)</f>
        <v>0.20077304252780129</v>
      </c>
      <c r="CK12" t="s">
        <v>48</v>
      </c>
      <c r="CN12" t="s">
        <v>126</v>
      </c>
      <c r="CO12">
        <v>-0.30843126749553185</v>
      </c>
      <c r="CP12">
        <v>1.0583040639233552</v>
      </c>
    </row>
    <row r="13" spans="1:94" x14ac:dyDescent="0.2">
      <c r="A13" t="s">
        <v>49</v>
      </c>
      <c r="B13" s="1">
        <v>3.407573202424675</v>
      </c>
      <c r="C13" s="1">
        <v>-0.80467477038584179</v>
      </c>
      <c r="D13" s="1">
        <v>-0.70245066398960077</v>
      </c>
      <c r="E13" s="1">
        <v>-9.341331310112877E-2</v>
      </c>
      <c r="F13" s="1">
        <v>0.45002486491391425</v>
      </c>
      <c r="G13" s="1">
        <v>-0.27287467822590578</v>
      </c>
      <c r="H13" s="1">
        <v>0.84705700975466725</v>
      </c>
      <c r="I13" s="1">
        <v>-0.70257578123017772</v>
      </c>
      <c r="J13" s="1">
        <v>-1.2485768830259949</v>
      </c>
      <c r="K13" s="1">
        <v>-0.98711984734454472</v>
      </c>
      <c r="L13" s="1">
        <v>-0.87327150487171779</v>
      </c>
      <c r="M13" s="1">
        <v>0.42829744670563824</v>
      </c>
      <c r="N13" s="1">
        <v>0.28016224731073924</v>
      </c>
      <c r="O13" s="1">
        <v>0.52114429467164125</v>
      </c>
      <c r="P13" s="1">
        <v>-0.43322451426633074</v>
      </c>
      <c r="Q13" s="1">
        <v>0.41225856786134452</v>
      </c>
      <c r="R13" s="1">
        <v>0.8205980627444972</v>
      </c>
      <c r="S13" s="1">
        <v>-6.0383131815437766E-2</v>
      </c>
      <c r="T13" s="1">
        <v>2.6010961533192152</v>
      </c>
      <c r="U13" s="1">
        <v>4.0674481241437253</v>
      </c>
      <c r="V13" s="1">
        <v>1.4203903606601251</v>
      </c>
      <c r="W13" s="1">
        <v>2.069490307961515</v>
      </c>
      <c r="X13" s="1">
        <v>1.536214297219455</v>
      </c>
      <c r="Y13" s="1">
        <v>1.4075681893924354</v>
      </c>
      <c r="Z13" s="1">
        <v>1.7511547385485686</v>
      </c>
      <c r="AA13" s="1">
        <v>-0.66599376801194887</v>
      </c>
      <c r="AB13" s="1">
        <v>3.0176079138616592</v>
      </c>
      <c r="AC13" s="1">
        <v>-0.88407653314150791</v>
      </c>
      <c r="AD13" s="1">
        <v>0.90149397044679624</v>
      </c>
      <c r="AE13" s="1">
        <v>-7.4394617620695686E-3</v>
      </c>
      <c r="AF13" s="1">
        <v>1.4856890889070451</v>
      </c>
      <c r="AG13" s="1">
        <v>0.22517224656053825</v>
      </c>
      <c r="AH13" s="1">
        <v>0.44688855181405024</v>
      </c>
      <c r="AI13" s="1">
        <v>1.3524865065065854</v>
      </c>
      <c r="AJ13" s="1">
        <v>0.92003860046648622</v>
      </c>
      <c r="AK13" s="1">
        <v>2.391852694093215</v>
      </c>
      <c r="AL13" s="1">
        <v>0.40800817237807752</v>
      </c>
      <c r="AM13" s="1">
        <v>1.5860236040178353</v>
      </c>
      <c r="AN13" s="1">
        <v>0.18233403660975223</v>
      </c>
      <c r="AO13" s="1">
        <v>0.36502886651828326</v>
      </c>
      <c r="AP13" s="1">
        <v>0.55602558094036025</v>
      </c>
      <c r="AQ13" s="1">
        <v>0.28234077546915726</v>
      </c>
      <c r="AR13" s="1">
        <v>-0.54660267426149189</v>
      </c>
      <c r="AS13" s="1">
        <v>1.2074005425708192</v>
      </c>
      <c r="AT13" s="2">
        <v>-6.0669970226981194E-2</v>
      </c>
      <c r="AU13" s="2">
        <v>-0.50624482820981997</v>
      </c>
      <c r="AV13" s="2">
        <v>-1.5201672650694409</v>
      </c>
      <c r="AW13" s="2">
        <v>-9.525878594462317E-2</v>
      </c>
      <c r="AX13" s="2">
        <v>3.3863274613822791</v>
      </c>
      <c r="AY13" s="2">
        <v>2.2430188924617989</v>
      </c>
      <c r="AZ13" s="2">
        <v>0.36792680306131409</v>
      </c>
      <c r="BA13" s="2">
        <v>1.798544758108179</v>
      </c>
      <c r="BB13" s="2">
        <v>2.4437139422593304</v>
      </c>
      <c r="BC13" s="2">
        <v>1.1174707091011284</v>
      </c>
      <c r="BD13" s="2">
        <v>0.73050553026065446</v>
      </c>
      <c r="BE13" s="2">
        <v>2.0004790492655604</v>
      </c>
      <c r="BF13" s="2">
        <v>0.70601777574332714</v>
      </c>
      <c r="BG13" s="2">
        <v>1.1640482081631189</v>
      </c>
      <c r="BH13" s="2">
        <v>-0.66413481473539193</v>
      </c>
      <c r="BI13" s="2">
        <v>1.5629609591816993</v>
      </c>
      <c r="BJ13" s="2">
        <v>1.8400616891342092</v>
      </c>
      <c r="BK13" s="2">
        <v>1.9163733370506488</v>
      </c>
      <c r="BL13" s="2">
        <v>0.5281447873708971</v>
      </c>
      <c r="BM13" s="2">
        <v>-0.40514284687408592</v>
      </c>
      <c r="BN13" s="2">
        <v>3.121202552491579</v>
      </c>
      <c r="BO13" s="2">
        <v>0.44625528610442511</v>
      </c>
      <c r="BP13" s="2">
        <v>0.77451105274001508</v>
      </c>
      <c r="BQ13" s="2">
        <v>6.8730359251247097E-2</v>
      </c>
      <c r="BR13" s="2">
        <v>2.0127340920931305</v>
      </c>
      <c r="BS13" s="2">
        <v>0.33991918595391657</v>
      </c>
      <c r="BT13" s="2">
        <v>8.91119628789315E-2</v>
      </c>
      <c r="BU13" s="2">
        <v>-0.4949816036879795</v>
      </c>
      <c r="BV13" s="2">
        <v>0.44859610065854949</v>
      </c>
      <c r="BW13" s="2">
        <v>-0.35612936718148847</v>
      </c>
      <c r="BX13" s="2">
        <v>0.55272768372544845</v>
      </c>
      <c r="BY13" s="2">
        <v>1.6721577423485106</v>
      </c>
      <c r="BZ13" s="2">
        <v>-0.19662882301192247</v>
      </c>
      <c r="CA13" s="2">
        <v>0.66055399961765748</v>
      </c>
      <c r="CB13" s="2">
        <v>2.8285247068274506</v>
      </c>
      <c r="CC13" s="2">
        <v>1.2841550064658904</v>
      </c>
      <c r="CE13">
        <f t="shared" si="0"/>
        <v>0.66059526121270751</v>
      </c>
      <c r="CF13">
        <f t="shared" si="1"/>
        <v>0.8834837591321989</v>
      </c>
      <c r="CG13">
        <f t="shared" si="2"/>
        <v>0.85684817573671035</v>
      </c>
      <c r="CH13">
        <f t="shared" si="3"/>
        <v>0.40542524893954046</v>
      </c>
      <c r="CI13">
        <f t="shared" si="4"/>
        <v>-0.22288849791949139</v>
      </c>
      <c r="CJ13">
        <f t="shared" si="5"/>
        <v>0.39208920795268659</v>
      </c>
      <c r="CK13" t="s">
        <v>49</v>
      </c>
      <c r="CN13" t="s">
        <v>71</v>
      </c>
      <c r="CO13">
        <v>0.21293538936146195</v>
      </c>
      <c r="CP13">
        <v>1.0013459802365801</v>
      </c>
    </row>
    <row r="14" spans="1:94" x14ac:dyDescent="0.2">
      <c r="A14" t="s">
        <v>50</v>
      </c>
      <c r="B14" s="1">
        <v>2.4625171504238725</v>
      </c>
      <c r="C14" s="1">
        <v>0.77197474371150232</v>
      </c>
      <c r="D14" s="1">
        <v>-2.7926970422696651E-2</v>
      </c>
      <c r="E14" s="1">
        <v>-0.98504754587790366</v>
      </c>
      <c r="F14" s="1">
        <v>0.35068579277973433</v>
      </c>
      <c r="G14" s="1" t="s">
        <v>67</v>
      </c>
      <c r="H14" s="1">
        <v>-0.6826464832459096</v>
      </c>
      <c r="I14" s="1">
        <v>-2.1354610589807077</v>
      </c>
      <c r="J14" s="1">
        <v>2.2224243419507022</v>
      </c>
      <c r="K14" s="1">
        <v>-4.0933025762319664E-2</v>
      </c>
      <c r="L14" s="1">
        <v>0.87592467366328242</v>
      </c>
      <c r="M14" s="1">
        <v>-1.0904824213997726</v>
      </c>
      <c r="N14" s="1">
        <v>2.1165206992290324</v>
      </c>
      <c r="O14" s="1">
        <v>-1.0208974925251848</v>
      </c>
      <c r="P14" s="1">
        <v>-1.4974489616109576</v>
      </c>
      <c r="Q14" s="1">
        <v>-1.1033847702428941</v>
      </c>
      <c r="R14" s="1">
        <v>-0.79627231736274762</v>
      </c>
      <c r="S14" s="1">
        <v>-0.63450762464917865</v>
      </c>
      <c r="T14" s="1">
        <v>1.1641816762398023</v>
      </c>
      <c r="U14" s="1">
        <v>0.39995359067761937</v>
      </c>
      <c r="V14" s="1">
        <v>-0.38754303513675914</v>
      </c>
      <c r="W14" s="1">
        <v>-0.11612521744163165</v>
      </c>
      <c r="X14" s="1">
        <v>0.84494883036389234</v>
      </c>
      <c r="Y14" s="1">
        <v>0.27987699634380536</v>
      </c>
      <c r="Z14" s="1">
        <v>-0.20022893130816533</v>
      </c>
      <c r="AA14" s="1">
        <v>-1.2830665496963358</v>
      </c>
      <c r="AB14" s="1">
        <v>-1.404941930184056</v>
      </c>
      <c r="AC14" s="1">
        <v>-1.1005040017522862</v>
      </c>
      <c r="AD14" s="1">
        <v>0.66825884639737243</v>
      </c>
      <c r="AE14" s="1">
        <v>-2.5071395582272578</v>
      </c>
      <c r="AF14" s="1">
        <v>0.9816251366972224</v>
      </c>
      <c r="AG14" s="1">
        <v>-6.7870162081939633E-2</v>
      </c>
      <c r="AH14" s="1">
        <v>-1.6770683700774376</v>
      </c>
      <c r="AI14" s="1">
        <v>1.1364554409852623</v>
      </c>
      <c r="AJ14" s="1">
        <v>0.79151106566746243</v>
      </c>
      <c r="AK14" s="1">
        <v>0.24330213002067136</v>
      </c>
      <c r="AL14" s="1">
        <v>0.71147685479143963</v>
      </c>
      <c r="AM14" s="1">
        <v>-1.3625431629935476</v>
      </c>
      <c r="AN14" s="1">
        <v>0.72493865963516235</v>
      </c>
      <c r="AO14" s="1">
        <v>1.6237239979908225</v>
      </c>
      <c r="AP14" s="1">
        <v>-0.10326412002850663</v>
      </c>
      <c r="AQ14" s="1">
        <v>-0.44955690167950463</v>
      </c>
      <c r="AR14" s="1">
        <v>-1.7803444805492359</v>
      </c>
      <c r="AS14" s="1">
        <v>-1.5502995052142858</v>
      </c>
      <c r="AT14" s="2">
        <v>2.3906573153481241</v>
      </c>
      <c r="AU14" s="2">
        <v>1.9043849694734041</v>
      </c>
      <c r="AV14" s="2">
        <v>1.0523296744266639</v>
      </c>
      <c r="AW14" s="2">
        <v>1.3202716453276842</v>
      </c>
      <c r="AX14" s="2">
        <v>-1.6208358664053759</v>
      </c>
      <c r="AY14" s="2">
        <v>-1.8997372748528258</v>
      </c>
      <c r="AZ14" s="2">
        <v>-1.2291910677966262</v>
      </c>
      <c r="BA14" s="2">
        <v>0.45436149569926298</v>
      </c>
      <c r="BB14" s="2">
        <v>0.11368834916673071</v>
      </c>
      <c r="BC14" s="2">
        <v>-0.5779481436070053</v>
      </c>
      <c r="BD14" s="2">
        <v>1.1564101716896447</v>
      </c>
      <c r="BE14" s="2">
        <v>1.8401950400139917</v>
      </c>
      <c r="BF14" s="2">
        <v>-0.45048158143766903</v>
      </c>
      <c r="BG14" s="2">
        <v>-1.0400714656486358</v>
      </c>
      <c r="BH14" s="2">
        <v>-1.2729798461797559</v>
      </c>
      <c r="BI14" s="2">
        <v>2.4942817631279941</v>
      </c>
      <c r="BJ14" s="2">
        <v>2.457948965096084</v>
      </c>
      <c r="BK14" s="2">
        <v>-0.79240734735256602</v>
      </c>
      <c r="BL14" s="2">
        <v>0.23159982458602946</v>
      </c>
      <c r="BM14" s="2">
        <v>-1.2146607082468259</v>
      </c>
      <c r="BN14" s="2">
        <v>2.492096256110794</v>
      </c>
      <c r="BO14" s="2">
        <v>-1.8594043436622658</v>
      </c>
      <c r="BP14" s="2">
        <v>-0.291118586556111</v>
      </c>
      <c r="BQ14" s="2">
        <v>2.7100171150027541</v>
      </c>
      <c r="BR14" s="2">
        <v>1.2501501699336726E-2</v>
      </c>
      <c r="BS14" s="2">
        <v>-1.5848051944615793</v>
      </c>
      <c r="BT14" s="2">
        <v>-0.11047932593081927</v>
      </c>
      <c r="BU14" s="2">
        <v>-1.6254456207642582</v>
      </c>
      <c r="BV14" s="2">
        <v>-0.4860238451523553</v>
      </c>
      <c r="BW14" s="2">
        <v>-0.89552731709024824</v>
      </c>
      <c r="BX14" s="2">
        <v>-1.3987756948312784</v>
      </c>
      <c r="BY14" s="2">
        <v>-1.9878543677634981</v>
      </c>
      <c r="BZ14" s="2">
        <v>-3.2073131651397302E-2</v>
      </c>
      <c r="CA14" s="2">
        <v>-0.67948477271337837</v>
      </c>
      <c r="CB14" s="2">
        <v>1.0563074671958967</v>
      </c>
      <c r="CC14" s="2">
        <v>-0.88187665836634821</v>
      </c>
      <c r="CE14">
        <f t="shared" si="0"/>
        <v>-0.13105125513680374</v>
      </c>
      <c r="CF14">
        <f t="shared" si="1"/>
        <v>-6.7814057362896706E-3</v>
      </c>
      <c r="CG14">
        <f t="shared" si="2"/>
        <v>0.9174682580886131</v>
      </c>
      <c r="CH14">
        <f t="shared" si="3"/>
        <v>0.68346431694094534</v>
      </c>
      <c r="CI14">
        <f t="shared" si="4"/>
        <v>-0.12426984940051397</v>
      </c>
      <c r="CJ14">
        <f t="shared" si="5"/>
        <v>0.16528415462970519</v>
      </c>
      <c r="CK14" t="s">
        <v>50</v>
      </c>
      <c r="CN14" t="s">
        <v>122</v>
      </c>
      <c r="CO14">
        <v>0.24747854389293386</v>
      </c>
      <c r="CP14">
        <v>0.85623431209965672</v>
      </c>
    </row>
    <row r="15" spans="1:94" x14ac:dyDescent="0.2">
      <c r="A15" t="s">
        <v>51</v>
      </c>
      <c r="B15" s="1">
        <v>-0.92121382760500869</v>
      </c>
      <c r="C15" s="1">
        <v>-0.73642814044000071</v>
      </c>
      <c r="D15" s="1">
        <v>-1.1292376117535377</v>
      </c>
      <c r="E15" s="1">
        <v>-1.1890410198894037</v>
      </c>
      <c r="F15" s="1">
        <v>-0.32363989144605465</v>
      </c>
      <c r="G15" s="1">
        <v>0.61842145178807129</v>
      </c>
      <c r="H15" s="1">
        <v>-0.68295630806459773</v>
      </c>
      <c r="I15" s="1">
        <v>-2.1150288766591205</v>
      </c>
      <c r="J15" s="1">
        <v>-1.0333857071447747</v>
      </c>
      <c r="K15" s="1">
        <v>-0.42605312398664869</v>
      </c>
      <c r="L15" s="1">
        <v>-1.0798049525741567</v>
      </c>
      <c r="M15" s="1">
        <v>-1.9892534341971606</v>
      </c>
      <c r="N15" s="1">
        <v>-1.1211730502035306</v>
      </c>
      <c r="O15" s="1">
        <v>-0.73488680256455963</v>
      </c>
      <c r="P15" s="1">
        <v>-1.9594611626428207</v>
      </c>
      <c r="Q15" s="1">
        <v>-0.84661498007047342</v>
      </c>
      <c r="R15" s="1">
        <v>-0.89459726124315964</v>
      </c>
      <c r="S15" s="1">
        <v>-1.1947497770036106</v>
      </c>
      <c r="T15" s="1">
        <v>1.0836166491378094</v>
      </c>
      <c r="U15" s="1">
        <v>2.0184281927870296</v>
      </c>
      <c r="V15" s="1">
        <v>1.6744366517571092</v>
      </c>
      <c r="W15" s="1">
        <v>1.3006468026257294</v>
      </c>
      <c r="X15" s="1">
        <v>1.1910259558286591</v>
      </c>
      <c r="Y15" s="1">
        <v>0.9070723079796793</v>
      </c>
      <c r="Z15" s="1">
        <v>-1.0973769512991725</v>
      </c>
      <c r="AA15" s="1">
        <v>7.1599749919422667E-2</v>
      </c>
      <c r="AB15" s="1">
        <v>-0.70859154188947016</v>
      </c>
      <c r="AC15" s="1">
        <v>0.26058083074968985</v>
      </c>
      <c r="AD15" s="1">
        <v>-0.27968023188818708</v>
      </c>
      <c r="AE15" s="1">
        <v>-0.57175385527444766</v>
      </c>
      <c r="AF15" s="1">
        <v>-4.9714828643666692E-2</v>
      </c>
      <c r="AG15" s="1">
        <v>-0.24072210806647779</v>
      </c>
      <c r="AH15" s="1">
        <v>-1.1799734718365755</v>
      </c>
      <c r="AI15" s="1">
        <v>0.98457584328637926</v>
      </c>
      <c r="AJ15" s="1">
        <v>9.4286122210481327E-2</v>
      </c>
      <c r="AK15" s="1">
        <v>-0.18985791750420009</v>
      </c>
      <c r="AL15" s="1">
        <v>3.2799154484180781</v>
      </c>
      <c r="AM15" s="1">
        <v>0.16757338506304731</v>
      </c>
      <c r="AN15" s="1">
        <v>-0.33592120053985164</v>
      </c>
      <c r="AO15" s="1">
        <v>1.1069677785369394</v>
      </c>
      <c r="AP15" s="1">
        <v>0.72773315104731029</v>
      </c>
      <c r="AQ15" s="1">
        <v>0.38664711227239534</v>
      </c>
      <c r="AR15" s="1">
        <v>-0.76407286732295021</v>
      </c>
      <c r="AS15" s="1">
        <v>-0.51080297492638027</v>
      </c>
      <c r="AT15" s="2">
        <v>-0.59471583803952721</v>
      </c>
      <c r="AU15" s="2">
        <v>-0.97693875443788025</v>
      </c>
      <c r="AV15" s="2">
        <v>-1.6904844765634501</v>
      </c>
      <c r="AW15" s="2">
        <v>-1.3344010864840004</v>
      </c>
      <c r="AX15" s="2">
        <v>-0.97913504619356018</v>
      </c>
      <c r="AY15" s="2">
        <v>-1.0543265504919503</v>
      </c>
      <c r="AZ15" s="2">
        <v>-0.64253096555053735</v>
      </c>
      <c r="BA15" s="2">
        <v>0.50247450003732963</v>
      </c>
      <c r="BB15" s="2">
        <v>0.63632460506597532</v>
      </c>
      <c r="BC15" s="2">
        <v>-1.1923556244501521</v>
      </c>
      <c r="BD15" s="2">
        <v>-0.26034002362809966</v>
      </c>
      <c r="BE15" s="2">
        <v>0.71771134845407136</v>
      </c>
      <c r="BF15" s="2">
        <v>-1.3821616182830003</v>
      </c>
      <c r="BG15" s="2">
        <v>-0.1508778386118913</v>
      </c>
      <c r="BH15" s="2">
        <v>-0.10613106049205134</v>
      </c>
      <c r="BI15" s="2">
        <v>0.85776389555562771</v>
      </c>
      <c r="BJ15" s="2">
        <v>2.7116460416507495</v>
      </c>
      <c r="BK15" s="2">
        <v>-0.84185256577454037</v>
      </c>
      <c r="BL15" s="2">
        <v>0.81510590484405765</v>
      </c>
      <c r="BM15" s="2">
        <v>-0.71694406939271027</v>
      </c>
      <c r="BN15" s="2">
        <v>1.1086208044013888</v>
      </c>
      <c r="BO15" s="2">
        <v>-0.97209365959143024</v>
      </c>
      <c r="BP15" s="2">
        <v>2.6793605006672196</v>
      </c>
      <c r="BQ15" s="2">
        <v>-2.0194454535001203</v>
      </c>
      <c r="BR15" s="2">
        <v>0.83356286030473936</v>
      </c>
      <c r="BS15" s="2">
        <v>-0.35639435708195244</v>
      </c>
      <c r="BT15" s="2">
        <v>-0.15519747108748366</v>
      </c>
      <c r="BU15" s="2">
        <v>-0.47629672437699971</v>
      </c>
      <c r="BV15" s="2">
        <v>7.3082514173550328E-2</v>
      </c>
      <c r="BW15" s="2">
        <v>-1.0257888623169278</v>
      </c>
      <c r="BX15" s="2">
        <v>-0.76205202102305769</v>
      </c>
      <c r="BY15" s="2">
        <v>-0.95455895092928778</v>
      </c>
      <c r="BZ15" s="2">
        <v>0.57930118329377334</v>
      </c>
      <c r="CA15" s="2">
        <v>-0.72009846078723561</v>
      </c>
      <c r="CB15" s="2">
        <v>0.29895185855850115</v>
      </c>
      <c r="CC15" s="2">
        <v>-0.11337961579053069</v>
      </c>
      <c r="CE15">
        <f t="shared" si="0"/>
        <v>-0.19164696461982211</v>
      </c>
      <c r="CF15">
        <f t="shared" si="1"/>
        <v>-0.21290541882976094</v>
      </c>
      <c r="CG15">
        <f t="shared" si="2"/>
        <v>1.014844336419253</v>
      </c>
      <c r="CH15">
        <f t="shared" si="3"/>
        <v>0.93068872958277915</v>
      </c>
      <c r="CI15">
        <f t="shared" si="4"/>
        <v>2.1258454209938878E-2</v>
      </c>
      <c r="CJ15">
        <f t="shared" si="5"/>
        <v>3.1195545257276462E-2</v>
      </c>
      <c r="CK15" t="s">
        <v>51</v>
      </c>
      <c r="CN15" t="s">
        <v>91</v>
      </c>
      <c r="CO15">
        <v>0.31695922875541882</v>
      </c>
      <c r="CP15">
        <v>0.83674209259310073</v>
      </c>
    </row>
    <row r="16" spans="1:94" x14ac:dyDescent="0.2">
      <c r="A16" t="s">
        <v>52</v>
      </c>
      <c r="B16" s="1">
        <v>1.5697477223299232</v>
      </c>
      <c r="C16" s="1">
        <v>-6.7896296056338734E-2</v>
      </c>
      <c r="D16" s="1">
        <v>-0.5929970195661457</v>
      </c>
      <c r="E16" s="1">
        <v>-0.21052926211533574</v>
      </c>
      <c r="F16" s="1">
        <v>1.8295320470780634</v>
      </c>
      <c r="G16" s="1">
        <v>-0.12147103731105074</v>
      </c>
      <c r="H16" s="1">
        <v>-0.48281435146880169</v>
      </c>
      <c r="I16" s="1">
        <v>-9.2533120573888739E-2</v>
      </c>
      <c r="J16" s="1">
        <v>-0.12303243188334573</v>
      </c>
      <c r="K16" s="1">
        <v>0.76201550550032526</v>
      </c>
      <c r="L16" s="1">
        <v>-1.1647647166185267</v>
      </c>
      <c r="M16" s="1">
        <v>-0.67837459371488174</v>
      </c>
      <c r="N16" s="1">
        <v>1.3245450455360332</v>
      </c>
      <c r="O16" s="1">
        <v>6.8959692506146281E-2</v>
      </c>
      <c r="P16" s="1">
        <v>-0.28167125995616371</v>
      </c>
      <c r="Q16" s="1">
        <v>0.53638299940022605</v>
      </c>
      <c r="R16" s="1">
        <v>3.864524430854277E-3</v>
      </c>
      <c r="S16" s="1">
        <v>0.69488435147669525</v>
      </c>
      <c r="T16" s="1">
        <v>0.3400767398143032</v>
      </c>
      <c r="U16" s="1">
        <v>0.48128665826172828</v>
      </c>
      <c r="V16" s="1">
        <v>4.8942406465111277E-2</v>
      </c>
      <c r="W16" s="1">
        <v>0.18307415604133537</v>
      </c>
      <c r="X16" s="1">
        <v>0.41558850598589026</v>
      </c>
      <c r="Y16" s="1">
        <v>0.11961149247317326</v>
      </c>
      <c r="Z16" s="1">
        <v>0.61611982176809699</v>
      </c>
      <c r="AA16" s="1">
        <v>-1.5067068366221581</v>
      </c>
      <c r="AB16" s="1">
        <v>0.19275250966112178</v>
      </c>
      <c r="AC16" s="1">
        <v>0.49521065184910185</v>
      </c>
      <c r="AD16" s="1">
        <v>0.46928017591385629</v>
      </c>
      <c r="AE16" s="1">
        <v>6.8728256813809285E-2</v>
      </c>
      <c r="AF16" s="1">
        <v>0.33784576534929966</v>
      </c>
      <c r="AG16" s="1">
        <v>-4.7957686522944742E-2</v>
      </c>
      <c r="AH16" s="1">
        <v>1.0896522737116991</v>
      </c>
      <c r="AI16" s="1">
        <v>-0.14129620626337774</v>
      </c>
      <c r="AJ16" s="1">
        <v>8.1191553943548267E-2</v>
      </c>
      <c r="AK16" s="1">
        <v>-0.17178051827600771</v>
      </c>
      <c r="AL16" s="1">
        <v>-1.1247500386667739</v>
      </c>
      <c r="AM16" s="1">
        <v>0.13722321681181027</v>
      </c>
      <c r="AN16" s="1">
        <v>0.47262386588778327</v>
      </c>
      <c r="AO16" s="1">
        <v>0.63718791699397626</v>
      </c>
      <c r="AP16" s="1">
        <v>0.37186149495471127</v>
      </c>
      <c r="AQ16" s="1">
        <v>0.38632979943595824</v>
      </c>
      <c r="AR16" s="1">
        <v>0.79521380923784168</v>
      </c>
      <c r="AS16" s="1">
        <v>1.2860436253132219</v>
      </c>
      <c r="AT16" s="2">
        <v>-1.5901703889365832</v>
      </c>
      <c r="AU16" s="2">
        <v>-1.6385988717449154</v>
      </c>
      <c r="AV16" s="2">
        <v>0.15370503459060481</v>
      </c>
      <c r="AW16" s="2">
        <v>0.6398348580532417</v>
      </c>
      <c r="AX16" s="2">
        <v>-0.8388563120983703</v>
      </c>
      <c r="AY16" s="2">
        <v>0.66658092615734177</v>
      </c>
      <c r="AZ16" s="2">
        <v>1.9352228649630421</v>
      </c>
      <c r="BA16" s="2">
        <v>0.61268936103251181</v>
      </c>
      <c r="BB16" s="2">
        <v>-9.9261667571989287E-2</v>
      </c>
      <c r="BC16" s="2">
        <v>-6.4097238694802161E-2</v>
      </c>
      <c r="BD16" s="2">
        <v>-3.5884090688472314E-2</v>
      </c>
      <c r="BE16" s="2">
        <v>-0.18460409515939624</v>
      </c>
      <c r="BF16" s="2">
        <v>-0.11556075743817829</v>
      </c>
      <c r="BG16" s="2">
        <v>-1.1092466402077363</v>
      </c>
      <c r="BH16" s="2">
        <v>1.451381280626082</v>
      </c>
      <c r="BI16" s="2">
        <v>1.1976087170075815</v>
      </c>
      <c r="BJ16" s="2">
        <v>1.9000640049694018</v>
      </c>
      <c r="BK16" s="2">
        <v>1.431555290997002</v>
      </c>
      <c r="BL16" s="2">
        <v>-0.23562342621334026</v>
      </c>
      <c r="BM16" s="2">
        <v>-0.31417713083267323</v>
      </c>
      <c r="BN16" s="2">
        <v>0.32993537889629165</v>
      </c>
      <c r="BO16" s="2">
        <v>1.5905831312648919</v>
      </c>
      <c r="BP16" s="2">
        <v>1.6432714446735774E-2</v>
      </c>
      <c r="BQ16" s="2">
        <v>-0.38230683872703625</v>
      </c>
      <c r="BR16" s="2">
        <v>0.63965853363981495</v>
      </c>
      <c r="BS16" s="2">
        <v>1.240954421826886</v>
      </c>
      <c r="BT16" s="2">
        <v>-0.45626712633353328</v>
      </c>
      <c r="BU16" s="2">
        <v>-0.50620289391280326</v>
      </c>
      <c r="BV16" s="2">
        <v>0.72177068073636375</v>
      </c>
      <c r="BW16" s="2">
        <v>-0.91170844926378336</v>
      </c>
      <c r="BX16" s="2">
        <v>-0.6659936123109832</v>
      </c>
      <c r="BY16" s="2">
        <v>-5.3046818194834255E-2</v>
      </c>
      <c r="BZ16" s="2">
        <v>-0.33419309738373126</v>
      </c>
      <c r="CA16" s="2">
        <v>-0.25441574616177531</v>
      </c>
      <c r="CB16" s="2">
        <v>-1.2789994676414231</v>
      </c>
      <c r="CC16" s="2">
        <v>-1.5352877932672633</v>
      </c>
      <c r="CE16">
        <f t="shared" si="0"/>
        <v>0.20470911839386144</v>
      </c>
      <c r="CF16">
        <f t="shared" si="1"/>
        <v>5.342985378956025E-2</v>
      </c>
      <c r="CG16">
        <f t="shared" si="2"/>
        <v>1.1105537843557998</v>
      </c>
      <c r="CH16">
        <f t="shared" si="3"/>
        <v>0.42873697366008634</v>
      </c>
      <c r="CI16">
        <f t="shared" si="4"/>
        <v>0.15127926460430127</v>
      </c>
      <c r="CJ16">
        <f t="shared" si="5"/>
        <v>0.36780906194272539</v>
      </c>
      <c r="CK16" t="s">
        <v>52</v>
      </c>
      <c r="CN16" t="s">
        <v>105</v>
      </c>
      <c r="CO16">
        <v>-0.52712412973871903</v>
      </c>
      <c r="CP16">
        <v>0.74987567821750467</v>
      </c>
    </row>
    <row r="17" spans="1:94" x14ac:dyDescent="0.2">
      <c r="A17" t="s">
        <v>53</v>
      </c>
      <c r="B17" s="1">
        <v>-0.67619981801953455</v>
      </c>
      <c r="C17" s="1">
        <v>-2.2151362022146346</v>
      </c>
      <c r="D17" s="1">
        <v>-2.6516307477445746</v>
      </c>
      <c r="E17" s="1">
        <v>-2.6633617234686442</v>
      </c>
      <c r="F17" s="1">
        <v>-1.7305466743453344</v>
      </c>
      <c r="G17" s="1">
        <v>-2.0252958808209947</v>
      </c>
      <c r="H17" s="1">
        <v>-2.1444922154861548</v>
      </c>
      <c r="I17" s="1">
        <v>-2.5387474864158248</v>
      </c>
      <c r="J17" s="1">
        <v>-2.2076006485788442</v>
      </c>
      <c r="K17" s="1">
        <v>-1.6075083817050346</v>
      </c>
      <c r="L17" s="1">
        <v>-2.7632226546413543</v>
      </c>
      <c r="M17" s="1">
        <v>-2.9253415984161046</v>
      </c>
      <c r="N17" s="1">
        <v>-2.0199694554135545</v>
      </c>
      <c r="O17" s="1">
        <v>-2.0467442959320445</v>
      </c>
      <c r="P17" s="1">
        <v>-2.2573597762890643</v>
      </c>
      <c r="Q17" s="1">
        <v>-2.2206972310116191</v>
      </c>
      <c r="R17" s="1">
        <v>-1.7589979642745244</v>
      </c>
      <c r="S17" s="1">
        <v>-1.0582934935065844</v>
      </c>
      <c r="T17" s="1">
        <v>-1.0760114323690244</v>
      </c>
      <c r="U17" s="1">
        <v>-1.0691425569011945</v>
      </c>
      <c r="V17" s="1">
        <v>-1.5749007938453345</v>
      </c>
      <c r="W17" s="1">
        <v>-1.2036908691812744</v>
      </c>
      <c r="X17" s="1">
        <v>-0.98334384853664436</v>
      </c>
      <c r="Y17" s="1">
        <v>-0.90046025318126444</v>
      </c>
      <c r="Z17" s="1">
        <v>-2.1488132063040695</v>
      </c>
      <c r="AA17" s="1">
        <v>-3.4086116953124845</v>
      </c>
      <c r="AB17" s="1">
        <v>-5.611711556525667E-2</v>
      </c>
      <c r="AC17" s="1">
        <v>-2.8646618613932144</v>
      </c>
      <c r="AD17" s="1">
        <v>-2.0342875476475548</v>
      </c>
      <c r="AE17" s="1">
        <v>-1.8362862987653845</v>
      </c>
      <c r="AF17" s="1">
        <v>-1.3477192006643945</v>
      </c>
      <c r="AG17" s="1">
        <v>-1.6204758737578244</v>
      </c>
      <c r="AH17" s="1">
        <v>-1.7783488887508543</v>
      </c>
      <c r="AI17" s="1">
        <v>-1.5079198589619445</v>
      </c>
      <c r="AJ17" s="1">
        <v>-1.2922607447201344</v>
      </c>
      <c r="AK17" s="1">
        <v>-1.7587435795374546</v>
      </c>
      <c r="AL17" s="1">
        <v>2.580056788121551</v>
      </c>
      <c r="AM17" s="1">
        <v>-1.3669003175954644</v>
      </c>
      <c r="AN17" s="1">
        <v>-1.3357979135122644</v>
      </c>
      <c r="AO17" s="1">
        <v>-1.4107135626825744</v>
      </c>
      <c r="AP17" s="1">
        <v>-1.3506648601216944</v>
      </c>
      <c r="AQ17" s="1">
        <v>-1.7854725733504246</v>
      </c>
      <c r="AR17" s="1">
        <v>-2.0924594812325044</v>
      </c>
      <c r="AS17" s="1">
        <v>-0.74022925478674773</v>
      </c>
      <c r="AT17" s="2">
        <v>-2.1713603270198947</v>
      </c>
      <c r="AU17" s="2">
        <v>-2.1213883639350146</v>
      </c>
      <c r="AV17" s="2">
        <v>-2.0226665861431625</v>
      </c>
      <c r="AW17" s="2">
        <v>-0.93441545464941911</v>
      </c>
      <c r="AX17" s="2">
        <v>-1.0830714854602947</v>
      </c>
      <c r="AY17" s="2">
        <v>1.2337204294753654</v>
      </c>
      <c r="AZ17" s="2">
        <v>2.1755401999049955</v>
      </c>
      <c r="BA17" s="2">
        <v>1.1666728089577751</v>
      </c>
      <c r="BB17" s="2">
        <v>-2.8994268910361543</v>
      </c>
      <c r="BC17" s="2">
        <v>-2.7137358203857698</v>
      </c>
      <c r="BD17" s="2">
        <v>-2.7181004171515948</v>
      </c>
      <c r="BE17" s="2">
        <v>-1.1476639298510745</v>
      </c>
      <c r="BF17" s="2">
        <v>-2.4773031424904746</v>
      </c>
      <c r="BG17" s="2">
        <v>-2.9745588710062849</v>
      </c>
      <c r="BH17" s="2">
        <v>-2.2245451392770748</v>
      </c>
      <c r="BI17" s="2">
        <v>-2.1024425561944549</v>
      </c>
      <c r="BJ17" s="2">
        <v>-1.6874609349114047</v>
      </c>
      <c r="BK17" s="2">
        <v>-1.2817681711710467</v>
      </c>
      <c r="BL17" s="2">
        <v>-2.2711388307975646</v>
      </c>
      <c r="BM17" s="2">
        <v>-2.1045767402830045</v>
      </c>
      <c r="BN17" s="2">
        <v>0.23895052012813545</v>
      </c>
      <c r="BO17" s="2">
        <v>-0.69759292371028558</v>
      </c>
      <c r="BP17" s="2">
        <v>-2.6611574052927747</v>
      </c>
      <c r="BQ17" s="2">
        <v>-2.8459496216410947</v>
      </c>
      <c r="BR17" s="2">
        <v>-1.2372336381296845</v>
      </c>
      <c r="BS17" s="2">
        <v>-1.8141380297372092</v>
      </c>
      <c r="BT17" s="2">
        <v>-2.3103938688314241</v>
      </c>
      <c r="BU17" s="2">
        <v>-2.3064906365060347</v>
      </c>
      <c r="BV17" s="2">
        <v>-1.4241741700004245</v>
      </c>
      <c r="BW17" s="2">
        <v>-2.8684556258907445</v>
      </c>
      <c r="BX17" s="2">
        <v>-2.604216557738944</v>
      </c>
      <c r="BY17" s="2">
        <v>-2.6850552456327641</v>
      </c>
      <c r="BZ17" s="2">
        <v>-2.5324971825556348</v>
      </c>
      <c r="CA17" s="2">
        <v>-2.2633422535689443</v>
      </c>
      <c r="CB17" s="2">
        <v>-3.7643594941215444</v>
      </c>
      <c r="CC17" s="2">
        <v>-2.1320136253189341</v>
      </c>
      <c r="CE17">
        <f t="shared" si="0"/>
        <v>-1.6698891602009063</v>
      </c>
      <c r="CF17">
        <f t="shared" si="1"/>
        <v>-1.7852169439437187</v>
      </c>
      <c r="CG17">
        <f t="shared" si="2"/>
        <v>1.0832211279848785</v>
      </c>
      <c r="CH17">
        <f t="shared" si="3"/>
        <v>0.65299518857849348</v>
      </c>
      <c r="CI17">
        <f t="shared" si="4"/>
        <v>0.11532778374281227</v>
      </c>
      <c r="CJ17">
        <f t="shared" si="5"/>
        <v>0.18509001869660846</v>
      </c>
      <c r="CK17" t="s">
        <v>53</v>
      </c>
      <c r="CN17" t="s">
        <v>81</v>
      </c>
      <c r="CO17">
        <v>0.2846565791189839</v>
      </c>
      <c r="CP17">
        <v>0.73042674818675513</v>
      </c>
    </row>
    <row r="18" spans="1:94" x14ac:dyDescent="0.2">
      <c r="A18" t="s">
        <v>54</v>
      </c>
      <c r="B18" s="1">
        <v>3.6164939376969598</v>
      </c>
      <c r="C18" s="1">
        <v>-0.43688440917393528</v>
      </c>
      <c r="D18" s="1">
        <v>-0.34452086856137326</v>
      </c>
      <c r="E18" s="1">
        <v>-0.76691244458006325</v>
      </c>
      <c r="F18" s="1">
        <v>2.2406750310243799</v>
      </c>
      <c r="G18" s="1">
        <v>2.3268151455320898</v>
      </c>
      <c r="H18" s="1">
        <v>0.58697010176653575</v>
      </c>
      <c r="I18" s="1" t="s">
        <v>67</v>
      </c>
      <c r="J18" s="1">
        <v>-0.35011455386288526</v>
      </c>
      <c r="K18" s="1">
        <v>-9.6114742400606273E-2</v>
      </c>
      <c r="L18" s="1">
        <v>1.4248298768574799</v>
      </c>
      <c r="M18" s="1">
        <v>-0.87240304345465824</v>
      </c>
      <c r="N18" s="1">
        <v>2.14580235773975</v>
      </c>
      <c r="O18" s="1">
        <v>1.8227088976635115E-2</v>
      </c>
      <c r="P18" s="1">
        <v>0.3315427286090547</v>
      </c>
      <c r="Q18" s="1">
        <v>1.3819458286508612</v>
      </c>
      <c r="R18" s="1">
        <v>0.20996588779124573</v>
      </c>
      <c r="S18" s="1">
        <v>-0.16845647405656328</v>
      </c>
      <c r="T18" s="1">
        <v>1.0602139044744896</v>
      </c>
      <c r="U18" s="1">
        <v>1.4635534004597197</v>
      </c>
      <c r="V18" s="1">
        <v>0.58304832210159274</v>
      </c>
      <c r="W18" s="1">
        <v>0.20633197628141173</v>
      </c>
      <c r="X18" s="1">
        <v>0.92583802993582476</v>
      </c>
      <c r="Y18" s="1">
        <v>0.38163360536965674</v>
      </c>
      <c r="Z18" s="1">
        <v>-0.89713681080827867</v>
      </c>
      <c r="AA18" s="1">
        <v>-0.78629887048772595</v>
      </c>
      <c r="AB18" s="1">
        <v>0.8316730172180411</v>
      </c>
      <c r="AC18" s="1">
        <v>-9.602514353216296E-2</v>
      </c>
      <c r="AD18" s="1">
        <v>-0.94521182759162725</v>
      </c>
      <c r="AE18" s="1">
        <v>0.67292030016657467</v>
      </c>
      <c r="AF18" s="1">
        <v>-0.70921412924696325</v>
      </c>
      <c r="AG18" s="1">
        <v>-0.23204397607500926</v>
      </c>
      <c r="AH18" s="1">
        <v>1.1664743774487896</v>
      </c>
      <c r="AI18" s="1">
        <v>-2.452549221010919E-2</v>
      </c>
      <c r="AJ18" s="1">
        <v>8.4511295369854217E-2</v>
      </c>
      <c r="AK18" s="1">
        <v>-0.26801077715688826</v>
      </c>
      <c r="AL18" s="1">
        <v>0.21579172153593129</v>
      </c>
      <c r="AM18" s="1">
        <v>0.66241345823443576</v>
      </c>
      <c r="AN18" s="1">
        <v>1.3172109149846296</v>
      </c>
      <c r="AO18" s="1">
        <v>2.0122092711981798</v>
      </c>
      <c r="AP18" s="1">
        <v>1.1022106310431199</v>
      </c>
      <c r="AQ18" s="1" t="s">
        <v>67</v>
      </c>
      <c r="AR18" s="1">
        <v>0.17527318142353204</v>
      </c>
      <c r="AS18" s="1">
        <v>-0.66269915700468596</v>
      </c>
      <c r="AT18" s="2">
        <v>0.46948725915648976</v>
      </c>
      <c r="AU18" s="2">
        <v>-0.22250130841070892</v>
      </c>
      <c r="AV18" s="2">
        <v>0.7274354088161441</v>
      </c>
      <c r="AW18" s="2">
        <v>-0.10515506604620095</v>
      </c>
      <c r="AX18" s="2">
        <v>0.18199963731652608</v>
      </c>
      <c r="AY18" s="2">
        <v>-1.2155847588427857</v>
      </c>
      <c r="AZ18" s="2">
        <v>-1.766059675027376</v>
      </c>
      <c r="BA18" s="2">
        <v>0.49063497331945877</v>
      </c>
      <c r="BB18" s="2">
        <v>-1.6661483828382297</v>
      </c>
      <c r="BC18" s="2">
        <v>-0.4948378604785888</v>
      </c>
      <c r="BD18" s="2">
        <v>4.6346171081016303</v>
      </c>
      <c r="BE18" s="2">
        <v>-0.76963302397071987</v>
      </c>
      <c r="BF18" s="2">
        <v>-1.8466673057921561</v>
      </c>
      <c r="BG18" s="2">
        <v>-0.80044862239582593</v>
      </c>
      <c r="BH18" s="2">
        <v>0.92406116049221609</v>
      </c>
      <c r="BI18" s="2">
        <v>2.2312192251368441</v>
      </c>
      <c r="BJ18" s="2">
        <v>1.946096141385254</v>
      </c>
      <c r="BK18" s="2">
        <v>0.50777556261851309</v>
      </c>
      <c r="BL18" s="2">
        <v>-0.54498302659779585</v>
      </c>
      <c r="BM18" s="2">
        <v>-0.40149922275877792</v>
      </c>
      <c r="BN18" s="2">
        <v>0.27530193072501408</v>
      </c>
      <c r="BO18" s="2">
        <v>0.29248568442058309</v>
      </c>
      <c r="BP18" s="2">
        <v>2.614863320628614</v>
      </c>
      <c r="BQ18" s="2">
        <v>3.4464292090855038</v>
      </c>
      <c r="BR18" s="2">
        <v>-0.52382189606429985</v>
      </c>
      <c r="BS18" s="2">
        <v>-1.2775771382905787</v>
      </c>
      <c r="BT18" s="2">
        <v>-0.54500145884556483</v>
      </c>
      <c r="BU18" s="2">
        <v>3.250267035062436E-2</v>
      </c>
      <c r="BV18" s="2">
        <v>1.7688803868867202</v>
      </c>
      <c r="BW18" s="2">
        <v>1.3684532284059303</v>
      </c>
      <c r="BX18" s="2">
        <v>1.02677865770828</v>
      </c>
      <c r="BY18" s="2">
        <v>-1.65303921244185</v>
      </c>
      <c r="BZ18" s="2">
        <v>-0.29910659374750881</v>
      </c>
      <c r="CA18" s="2">
        <v>1.1566576888420501</v>
      </c>
      <c r="CB18" s="2">
        <v>-1.1172033683771998</v>
      </c>
      <c r="CC18" s="2">
        <v>2.9700262025078499</v>
      </c>
      <c r="CE18">
        <f t="shared" si="0"/>
        <v>0.46400006361160095</v>
      </c>
      <c r="CF18">
        <f t="shared" si="1"/>
        <v>0.32823437597161331</v>
      </c>
      <c r="CG18">
        <f t="shared" si="2"/>
        <v>1.0986757639118863</v>
      </c>
      <c r="CH18">
        <f t="shared" si="3"/>
        <v>0.65394750911282362</v>
      </c>
      <c r="CI18">
        <f t="shared" si="4"/>
        <v>0.13576568763998761</v>
      </c>
      <c r="CJ18">
        <f t="shared" si="5"/>
        <v>0.18445711011233559</v>
      </c>
      <c r="CK18" t="s">
        <v>54</v>
      </c>
      <c r="CN18" t="s">
        <v>64</v>
      </c>
      <c r="CO18">
        <v>-0.28408512087586785</v>
      </c>
      <c r="CP18">
        <v>0.71534059616139423</v>
      </c>
    </row>
    <row r="19" spans="1:94" x14ac:dyDescent="0.2">
      <c r="A19" t="s">
        <v>55</v>
      </c>
      <c r="B19" s="1">
        <v>-7.6192417665809573E-2</v>
      </c>
      <c r="C19" s="1">
        <v>-1.1002015028396726</v>
      </c>
      <c r="D19" s="1">
        <v>-1.3333893961604026</v>
      </c>
      <c r="E19" s="1">
        <v>0.75958481800028643</v>
      </c>
      <c r="F19" s="1">
        <v>-0.8850138374937665</v>
      </c>
      <c r="G19" s="1">
        <v>0.67499115436978341</v>
      </c>
      <c r="H19" s="1">
        <v>-0.14296616435696058</v>
      </c>
      <c r="I19" s="1">
        <v>2.8941662940862276</v>
      </c>
      <c r="J19" s="1">
        <v>-1.9555729347855226</v>
      </c>
      <c r="K19" s="1">
        <v>-2.0958479256370324</v>
      </c>
      <c r="L19" s="1">
        <v>-2.0913106493242586E-2</v>
      </c>
      <c r="M19" s="1">
        <v>-1.9011656196506626</v>
      </c>
      <c r="N19" s="1">
        <v>-0.75133446309393859</v>
      </c>
      <c r="O19" s="1">
        <v>-2.0079573640786426</v>
      </c>
      <c r="P19" s="1">
        <v>-0.8822181903984625</v>
      </c>
      <c r="Q19" s="1">
        <v>1.3511661546791205</v>
      </c>
      <c r="R19" s="1">
        <v>-1.5952039005574528</v>
      </c>
      <c r="S19" s="1">
        <v>0.82156715733105845</v>
      </c>
      <c r="T19" s="1">
        <v>3.3530104511265618E-2</v>
      </c>
      <c r="U19" s="1">
        <v>0.10947056006915082</v>
      </c>
      <c r="V19" s="1">
        <v>-1.5627636954090627</v>
      </c>
      <c r="W19" s="1">
        <v>-1.4162304029116426</v>
      </c>
      <c r="X19" s="1">
        <v>-0.72635903391026257</v>
      </c>
      <c r="Y19" s="1">
        <v>-1.1675855431291327</v>
      </c>
      <c r="Z19" s="1">
        <v>0.41896067692837069</v>
      </c>
      <c r="AA19" s="1">
        <v>0.88735861792337722</v>
      </c>
      <c r="AB19" s="1">
        <v>0.4665397033712253</v>
      </c>
      <c r="AC19" s="1">
        <v>-0.94903597363968373</v>
      </c>
      <c r="AD19" s="1">
        <v>2.6060103620724977</v>
      </c>
      <c r="AE19" s="1">
        <v>1.6525509412143673</v>
      </c>
      <c r="AF19" s="1">
        <v>0.74696809910760043</v>
      </c>
      <c r="AG19" s="1">
        <v>-0.56714092505081559</v>
      </c>
      <c r="AH19" s="1">
        <v>0.39069468332019641</v>
      </c>
      <c r="AI19" s="1">
        <v>-0.59430099317895557</v>
      </c>
      <c r="AJ19" s="1">
        <v>-0.7804285918760685</v>
      </c>
      <c r="AK19" s="1">
        <v>-1.7683532768992627</v>
      </c>
      <c r="AL19" s="1">
        <v>1.9908808254484709</v>
      </c>
      <c r="AM19" s="1">
        <v>-0.68191358976831151</v>
      </c>
      <c r="AN19" s="1">
        <v>1.2155012970077474</v>
      </c>
      <c r="AO19" s="1">
        <v>3.1587980559946778</v>
      </c>
      <c r="AP19" s="1">
        <v>2.5509759331360278</v>
      </c>
      <c r="AQ19" s="1">
        <v>1.2376639508217173</v>
      </c>
      <c r="AR19" s="1">
        <v>-0.22533526637659274</v>
      </c>
      <c r="AS19" s="1">
        <v>0.94470062823647527</v>
      </c>
      <c r="AT19" s="2">
        <v>3.0404208236726054</v>
      </c>
      <c r="AU19" s="2">
        <v>0.8146996475401852</v>
      </c>
      <c r="AV19" s="2">
        <v>-2.6821829908866932E-2</v>
      </c>
      <c r="AW19" s="2">
        <v>-0.10655164752400884</v>
      </c>
      <c r="AX19" s="2">
        <v>-0.55486354633797774</v>
      </c>
      <c r="AY19" s="2">
        <v>-0.38385834869241475</v>
      </c>
      <c r="AZ19" s="2">
        <v>-1.1996396618820246</v>
      </c>
      <c r="BA19" s="2">
        <v>-0.69467694545313274</v>
      </c>
      <c r="BB19" s="2">
        <v>-1.5266400389488282</v>
      </c>
      <c r="BC19" s="2">
        <v>1.0691870990784509</v>
      </c>
      <c r="BD19" s="2">
        <v>-0.19978780363396031</v>
      </c>
      <c r="BE19" s="2">
        <v>-0.62822124577728822</v>
      </c>
      <c r="BF19" s="2">
        <v>-1.3501244844077847</v>
      </c>
      <c r="BG19" s="2">
        <v>-0.27405320305635472</v>
      </c>
      <c r="BH19" s="2">
        <v>0.43066109155408527</v>
      </c>
      <c r="BI19" s="2">
        <v>1.9520452161180553</v>
      </c>
      <c r="BJ19" s="2">
        <v>1.0077747914050654</v>
      </c>
      <c r="BK19" s="2">
        <v>7.9354872597732259E-2</v>
      </c>
      <c r="BL19" s="2">
        <v>2.0346967475260866E-2</v>
      </c>
      <c r="BM19" s="2">
        <v>0.7551862511618832</v>
      </c>
      <c r="BN19" s="2">
        <v>-9.840465951439234E-2</v>
      </c>
      <c r="BO19" s="2">
        <v>1.0068077772352553</v>
      </c>
      <c r="BP19" s="2">
        <v>0.79895497850381025</v>
      </c>
      <c r="BQ19" s="2">
        <v>0.8388644415697043</v>
      </c>
      <c r="BR19" s="2">
        <v>-0.52275316039159725</v>
      </c>
      <c r="BS19" s="2">
        <v>-1.2013991125583883</v>
      </c>
      <c r="BT19" s="2">
        <v>-1.0026826536805282</v>
      </c>
      <c r="BU19" s="2">
        <v>-1.0865366096653082</v>
      </c>
      <c r="BV19" s="2">
        <v>2.5339160001719616</v>
      </c>
      <c r="BW19" s="2">
        <v>-0.69406217915165835</v>
      </c>
      <c r="BX19" s="2">
        <v>-0.65094846864860922</v>
      </c>
      <c r="BY19" s="2">
        <v>-1.5678836547365882</v>
      </c>
      <c r="BZ19" s="2">
        <v>-0.63392922577137423</v>
      </c>
      <c r="CA19" s="2">
        <v>-3.9294822984521249E-2</v>
      </c>
      <c r="CB19" s="2">
        <v>-1.1925083744007283</v>
      </c>
      <c r="CC19" s="2">
        <v>-1.1879425855287082</v>
      </c>
      <c r="CE19">
        <f t="shared" si="0"/>
        <v>-6.2578204029934085E-3</v>
      </c>
      <c r="CF19">
        <f t="shared" si="1"/>
        <v>-6.8760119571416381E-2</v>
      </c>
      <c r="CG19">
        <f t="shared" si="2"/>
        <v>1.0442754466482995</v>
      </c>
      <c r="CH19">
        <f t="shared" si="3"/>
        <v>0.82356658476193578</v>
      </c>
      <c r="CI19">
        <f t="shared" si="4"/>
        <v>6.2502299168423023E-2</v>
      </c>
      <c r="CJ19">
        <f t="shared" si="5"/>
        <v>8.4301282680406764E-2</v>
      </c>
      <c r="CK19" t="s">
        <v>55</v>
      </c>
      <c r="CN19" t="s">
        <v>90</v>
      </c>
      <c r="CO19">
        <v>0.2069923896977309</v>
      </c>
      <c r="CP19">
        <v>0.7114965791385629</v>
      </c>
    </row>
    <row r="20" spans="1:94" x14ac:dyDescent="0.2">
      <c r="A20" t="s">
        <v>56</v>
      </c>
      <c r="B20" s="1">
        <v>-1.1911540334670156</v>
      </c>
      <c r="C20" s="1">
        <v>-1.0566648159966456</v>
      </c>
      <c r="D20" s="1">
        <v>-2.676321174970786</v>
      </c>
      <c r="E20" s="1">
        <v>-2.5353457309905458</v>
      </c>
      <c r="F20" s="1">
        <v>-1.1410651192569057</v>
      </c>
      <c r="G20" s="1">
        <v>-0.36400139687530064</v>
      </c>
      <c r="H20" s="1">
        <v>-2.6539446531941255</v>
      </c>
      <c r="I20" s="1">
        <v>-3.0290005103985758</v>
      </c>
      <c r="J20" s="1">
        <v>-1.1056252446560757</v>
      </c>
      <c r="K20" s="1">
        <v>-1.7554957073267559</v>
      </c>
      <c r="L20" s="1">
        <v>-2.3959977450123953</v>
      </c>
      <c r="M20" s="1">
        <v>-2.3046721509360557</v>
      </c>
      <c r="N20" s="1">
        <v>-2.5361409103675259</v>
      </c>
      <c r="O20" s="1">
        <v>-2.9711622938125259</v>
      </c>
      <c r="P20" s="1">
        <v>-2.7200765528840058</v>
      </c>
      <c r="Q20" s="1">
        <v>-2.0147400918921758</v>
      </c>
      <c r="R20" s="1">
        <v>-1.0863826420989156</v>
      </c>
      <c r="S20" s="1">
        <v>-0.5051695046709026</v>
      </c>
      <c r="T20" s="1">
        <v>-0.20068114570965467</v>
      </c>
      <c r="U20" s="1">
        <v>-0.24427336844783065</v>
      </c>
      <c r="V20" s="1">
        <v>-0.46081908107631864</v>
      </c>
      <c r="W20" s="1">
        <v>-0.37833032950076761</v>
      </c>
      <c r="X20" s="1">
        <v>-0.32915258983092865</v>
      </c>
      <c r="Y20" s="1">
        <v>-1.0575425002285457</v>
      </c>
      <c r="Z20" s="1">
        <v>-1.8777360132322372</v>
      </c>
      <c r="AA20" s="1">
        <v>-0.46646631410386968</v>
      </c>
      <c r="AB20" s="1">
        <v>-0.8767014447060677</v>
      </c>
      <c r="AC20" s="1">
        <v>-1.1557552218847327</v>
      </c>
      <c r="AD20" s="1">
        <v>-1.6462344540565756</v>
      </c>
      <c r="AE20" s="1">
        <v>-0.97007620611127576</v>
      </c>
      <c r="AF20" s="1">
        <v>0.50898225184740031</v>
      </c>
      <c r="AG20" s="1">
        <v>0.57232610762556735</v>
      </c>
      <c r="AH20" s="1">
        <v>-1.3382511792839455</v>
      </c>
      <c r="AI20" s="1">
        <v>0.34724551134555182</v>
      </c>
      <c r="AJ20" s="1">
        <v>-1.3176997874354757</v>
      </c>
      <c r="AK20" s="1">
        <v>-1.2133464924085657</v>
      </c>
      <c r="AL20" s="1">
        <v>1.0535629379462237</v>
      </c>
      <c r="AM20" s="1">
        <v>-1.6424897273855756</v>
      </c>
      <c r="AN20" s="1">
        <v>-0.50193085496656265</v>
      </c>
      <c r="AO20" s="1">
        <v>-1.0643266443918056</v>
      </c>
      <c r="AP20" s="1">
        <v>-0.79320380874335572</v>
      </c>
      <c r="AQ20" s="1">
        <v>-0.51474340935716367</v>
      </c>
      <c r="AR20" s="1">
        <v>-1.9187664914492937</v>
      </c>
      <c r="AS20" s="1">
        <v>-1.8885163196662638</v>
      </c>
      <c r="AT20" s="2">
        <v>-1.1790641900154708</v>
      </c>
      <c r="AU20" s="2">
        <v>-1.1497805371986767</v>
      </c>
      <c r="AV20" s="2">
        <v>-2.1408663554747935</v>
      </c>
      <c r="AW20" s="2">
        <v>-1.8282737117222436</v>
      </c>
      <c r="AX20" s="2">
        <v>-1.6862790028280936</v>
      </c>
      <c r="AY20" s="2">
        <v>-2.1360205920517039</v>
      </c>
      <c r="AZ20" s="2">
        <v>-2.2265983919832335</v>
      </c>
      <c r="BA20" s="2">
        <v>0.24360269045729732</v>
      </c>
      <c r="BB20" s="2">
        <v>-1.1235456968940369</v>
      </c>
      <c r="BC20" s="2">
        <v>-1.2623345058991053</v>
      </c>
      <c r="BD20" s="2">
        <v>-0.57110454663730681</v>
      </c>
      <c r="BE20" s="2">
        <v>-1.1901239993646784E-2</v>
      </c>
      <c r="BF20" s="2">
        <v>-1.8020899899437837</v>
      </c>
      <c r="BG20" s="2">
        <v>-0.40339611002452869</v>
      </c>
      <c r="BH20" s="2">
        <v>-3.0500754913244537</v>
      </c>
      <c r="BI20" s="2">
        <v>9.9004276371515321E-2</v>
      </c>
      <c r="BJ20" s="2">
        <v>1.4093921881132663</v>
      </c>
      <c r="BK20" s="2">
        <v>-1.3987668360620038</v>
      </c>
      <c r="BL20" s="2">
        <v>-1.0579899821280616</v>
      </c>
      <c r="BM20" s="2">
        <v>-2.3334753426338537</v>
      </c>
      <c r="BN20" s="2">
        <v>-0.64519002735746667</v>
      </c>
      <c r="BO20" s="2">
        <v>-1.5169758041794037</v>
      </c>
      <c r="BP20" s="2">
        <v>-0.31347972323796458</v>
      </c>
      <c r="BQ20" s="2">
        <v>-1.5511602511542737</v>
      </c>
      <c r="BR20" s="2">
        <v>-1.3714493479217769</v>
      </c>
      <c r="BS20" s="2">
        <v>-1.2830373998757643</v>
      </c>
      <c r="BT20" s="2">
        <v>-1.1753374118511368</v>
      </c>
      <c r="BU20" s="2">
        <v>-1.1233866073163969</v>
      </c>
      <c r="BV20" s="2">
        <v>0.32023220452204615</v>
      </c>
      <c r="BW20" s="2">
        <v>-2.1669063913363367</v>
      </c>
      <c r="BX20" s="2">
        <v>-2.0956328741765367</v>
      </c>
      <c r="BY20" s="2">
        <v>-2.4572146689200167</v>
      </c>
      <c r="BZ20" s="2">
        <v>-1.5451761073555168</v>
      </c>
      <c r="CA20" s="2">
        <v>-2.1011832045653671</v>
      </c>
      <c r="CB20" s="2">
        <v>-2.5258021908214872</v>
      </c>
      <c r="CC20" s="2">
        <v>-3.9348210998080262</v>
      </c>
      <c r="CE20">
        <f t="shared" si="0"/>
        <v>-1.2140428830458929</v>
      </c>
      <c r="CF20">
        <f t="shared" si="1"/>
        <v>-1.3637801187007872</v>
      </c>
      <c r="CG20">
        <f t="shared" si="2"/>
        <v>1.1093673997393851</v>
      </c>
      <c r="CH20">
        <f t="shared" si="3"/>
        <v>0.51566398516589396</v>
      </c>
      <c r="CI20">
        <f t="shared" si="4"/>
        <v>0.14973723565489414</v>
      </c>
      <c r="CJ20">
        <f t="shared" si="5"/>
        <v>0.28763319938619669</v>
      </c>
      <c r="CK20" t="s">
        <v>56</v>
      </c>
      <c r="CN20" t="s">
        <v>121</v>
      </c>
      <c r="CO20">
        <v>-0.42218753177985702</v>
      </c>
      <c r="CP20">
        <v>0.69507831516712382</v>
      </c>
    </row>
    <row r="21" spans="1:94" x14ac:dyDescent="0.2">
      <c r="A21" t="s">
        <v>57</v>
      </c>
      <c r="B21" s="1">
        <v>2.4621857789623389</v>
      </c>
      <c r="C21" s="1">
        <v>2.2432474417540789</v>
      </c>
      <c r="D21" s="1">
        <v>-7.7553754689866139E-2</v>
      </c>
      <c r="E21" s="1">
        <v>1.4292959214334888</v>
      </c>
      <c r="F21" s="1">
        <v>3.676054179078629</v>
      </c>
      <c r="G21" s="1">
        <v>6.6361478941190877E-2</v>
      </c>
      <c r="H21" s="1">
        <v>-0.3199772297442961</v>
      </c>
      <c r="I21" s="1">
        <v>-4.6553681024953608</v>
      </c>
      <c r="J21" s="1">
        <v>2.890368080742709</v>
      </c>
      <c r="K21" s="1">
        <v>2.1923743875838086</v>
      </c>
      <c r="L21" s="1">
        <v>-2.347556111887017E-2</v>
      </c>
      <c r="M21" s="1">
        <v>-0.73244339432469119</v>
      </c>
      <c r="N21" s="1">
        <v>3.2349003870544188</v>
      </c>
      <c r="O21" s="1">
        <v>-0.37510654445443314</v>
      </c>
      <c r="P21" s="1">
        <v>0.48897447235911773</v>
      </c>
      <c r="Q21" s="1">
        <v>1.2499885038766574</v>
      </c>
      <c r="R21" s="1">
        <v>-0.33398979240828419</v>
      </c>
      <c r="S21" s="1">
        <v>0.73201976737642682</v>
      </c>
      <c r="T21" s="1">
        <v>0.20735918176283885</v>
      </c>
      <c r="U21" s="1">
        <v>-0.24436132376352815</v>
      </c>
      <c r="V21" s="1">
        <v>-0.54047749542819412</v>
      </c>
      <c r="W21" s="1">
        <v>-0.58950241482120014</v>
      </c>
      <c r="X21" s="1">
        <v>-0.35081400313897615</v>
      </c>
      <c r="Y21" s="1">
        <v>0.23264213353039984</v>
      </c>
      <c r="Z21" s="1">
        <v>1.3666152001490675</v>
      </c>
      <c r="AA21" s="1">
        <v>-1.7768470476077494</v>
      </c>
      <c r="AB21" s="1">
        <v>-0.92673852613258323</v>
      </c>
      <c r="AC21" s="1">
        <v>1.9001264865032674</v>
      </c>
      <c r="AD21" s="1">
        <v>-0.60361521233735116</v>
      </c>
      <c r="AE21" s="1">
        <v>-2.0440986440565312</v>
      </c>
      <c r="AF21" s="1">
        <v>0.18543968127969385</v>
      </c>
      <c r="AG21" s="1">
        <v>-2.8008802193238309</v>
      </c>
      <c r="AH21" s="1">
        <v>0.76082031791425386</v>
      </c>
      <c r="AI21" s="1">
        <v>1.0549253266125289</v>
      </c>
      <c r="AJ21" s="1">
        <v>0.21203538173964584</v>
      </c>
      <c r="AK21" s="1">
        <v>-0.52256832988589919</v>
      </c>
      <c r="AL21" s="1">
        <v>0.16512295133709132</v>
      </c>
      <c r="AM21" s="1">
        <v>0.35882363324489797</v>
      </c>
      <c r="AN21" s="1">
        <v>-0.31797198684908112</v>
      </c>
      <c r="AO21" s="1">
        <v>-0.72943445259931117</v>
      </c>
      <c r="AP21" s="1">
        <v>-0.40037335383821215</v>
      </c>
      <c r="AQ21" s="1">
        <v>-1.4870794030269812</v>
      </c>
      <c r="AR21" s="1">
        <v>0.61684847862073755</v>
      </c>
      <c r="AS21" s="1" t="s">
        <v>67</v>
      </c>
      <c r="AT21" s="2">
        <v>-1.3739109473796405</v>
      </c>
      <c r="AU21" s="2">
        <v>0.46132316311846755</v>
      </c>
      <c r="AV21" s="2">
        <v>-0.17089194391226636</v>
      </c>
      <c r="AW21" s="2">
        <v>1.0337950325396676</v>
      </c>
      <c r="AX21" s="2">
        <v>-0.55008633143075136</v>
      </c>
      <c r="AY21" s="2">
        <v>0.48567530955580773</v>
      </c>
      <c r="AZ21" s="2">
        <v>0.85936642881865755</v>
      </c>
      <c r="BA21" s="2">
        <v>3.3293872095388872</v>
      </c>
      <c r="BB21" s="2">
        <v>-1.4146617120811551</v>
      </c>
      <c r="BC21" s="2">
        <v>-0.29860003142312447</v>
      </c>
      <c r="BD21" s="2">
        <v>0.53675655186360649</v>
      </c>
      <c r="BE21" s="2">
        <v>1.6478709883845848</v>
      </c>
      <c r="BF21" s="2">
        <v>2.382826894302668</v>
      </c>
      <c r="BG21" s="2">
        <v>-0.48986976226159235</v>
      </c>
      <c r="BH21" s="2">
        <v>0.77705695547084774</v>
      </c>
      <c r="BI21" s="2">
        <v>1.5377229243615578</v>
      </c>
      <c r="BJ21" s="2">
        <v>3.4394481055155177</v>
      </c>
      <c r="BK21" s="2">
        <v>1.1198916419780176</v>
      </c>
      <c r="BL21" s="2">
        <v>0.26036330613343761</v>
      </c>
      <c r="BM21" s="2">
        <v>-0.24841963190266736</v>
      </c>
      <c r="BN21" s="2">
        <v>1.9917612797261774</v>
      </c>
      <c r="BO21" s="2">
        <v>-0.27026177123673034</v>
      </c>
      <c r="BP21" s="2">
        <v>-0.7596570257742884</v>
      </c>
      <c r="BQ21" s="2">
        <v>-4.6570458225673184E-3</v>
      </c>
      <c r="BR21" s="2">
        <v>-2.5987653394852752</v>
      </c>
      <c r="BS21" s="2">
        <v>0.50976763465106556</v>
      </c>
      <c r="BT21" s="2" t="s">
        <v>67</v>
      </c>
      <c r="BU21" s="2">
        <v>2.2027532858869048</v>
      </c>
      <c r="BV21" s="2" t="s">
        <v>67</v>
      </c>
      <c r="BW21" s="2">
        <v>-1.152360240232835</v>
      </c>
      <c r="BX21" s="2">
        <v>-1.4735235276086651</v>
      </c>
      <c r="BY21" s="2">
        <v>8.4402883652617888E-2</v>
      </c>
      <c r="BZ21" s="2">
        <v>1.1310318531480927</v>
      </c>
      <c r="CA21" s="2">
        <v>1.6604017803518849</v>
      </c>
      <c r="CB21" s="2">
        <v>4.1272724623608052</v>
      </c>
      <c r="CC21" s="2">
        <v>-0.90292564687355514</v>
      </c>
      <c r="CE21">
        <f t="shared" si="0"/>
        <v>0.18311284604214093</v>
      </c>
      <c r="CF21">
        <f t="shared" si="1"/>
        <v>0.52559660982159306</v>
      </c>
      <c r="CG21">
        <f t="shared" si="2"/>
        <v>0.78868233594173986</v>
      </c>
      <c r="CH21">
        <f t="shared" si="3"/>
        <v>0.33325604250671892</v>
      </c>
      <c r="CI21">
        <f t="shared" si="4"/>
        <v>-0.342483763779452</v>
      </c>
      <c r="CJ21">
        <f t="shared" si="5"/>
        <v>0.47722196733485672</v>
      </c>
      <c r="CK21" t="s">
        <v>57</v>
      </c>
      <c r="CN21" t="s">
        <v>125</v>
      </c>
      <c r="CO21">
        <v>-0.18121699963277543</v>
      </c>
      <c r="CP21">
        <v>0.64048601220052315</v>
      </c>
    </row>
    <row r="22" spans="1:94" x14ac:dyDescent="0.2">
      <c r="A22" t="s">
        <v>58</v>
      </c>
      <c r="B22" s="1">
        <v>-1.3730187097002551</v>
      </c>
      <c r="C22" s="1">
        <v>0.28197097832273299</v>
      </c>
      <c r="D22" s="1">
        <v>0.39158523447110499</v>
      </c>
      <c r="E22" s="1">
        <v>-0.48448558601333702</v>
      </c>
      <c r="F22" s="1">
        <v>1.100836260895905</v>
      </c>
      <c r="G22" s="1">
        <v>-1.8263493657738548</v>
      </c>
      <c r="H22" s="1">
        <v>-1.5880860766997751</v>
      </c>
      <c r="I22" s="1">
        <v>-8.5258976547852972E-2</v>
      </c>
      <c r="J22" s="1">
        <v>0.761662842761343</v>
      </c>
      <c r="K22" s="1">
        <v>0.65702054029748103</v>
      </c>
      <c r="L22" s="1">
        <v>-1.7342674897909985E-2</v>
      </c>
      <c r="M22" s="1">
        <v>-0.76470857254975699</v>
      </c>
      <c r="N22" s="1">
        <v>8.6168797479127701E-2</v>
      </c>
      <c r="O22" s="1">
        <v>-0.77004125487203601</v>
      </c>
      <c r="P22" s="1">
        <v>-0.96433316899426502</v>
      </c>
      <c r="Q22" s="1">
        <v>-1.11324947265442</v>
      </c>
      <c r="R22" s="1">
        <v>-2.6845071524042448</v>
      </c>
      <c r="S22" s="1">
        <v>0.65853330018987</v>
      </c>
      <c r="T22" s="1">
        <v>-1.7595423446270151</v>
      </c>
      <c r="U22" s="1">
        <v>-1.6272714657673948</v>
      </c>
      <c r="V22" s="1">
        <v>-0.84993387156028</v>
      </c>
      <c r="W22" s="1">
        <v>-1.755000884891575</v>
      </c>
      <c r="X22" s="1">
        <v>-1.241002246518605</v>
      </c>
      <c r="Y22" s="1">
        <v>-1.007579479952565</v>
      </c>
      <c r="Z22" s="1">
        <v>-6.2872039746570074E-2</v>
      </c>
      <c r="AA22" s="1">
        <v>-1.5307657817821743</v>
      </c>
      <c r="AB22" s="1">
        <v>-1.0239440019704305</v>
      </c>
      <c r="AC22" s="1">
        <v>-1.4376941611877845</v>
      </c>
      <c r="AD22" s="1">
        <v>-0.80652547591886703</v>
      </c>
      <c r="AE22" s="1">
        <v>-0.52963479753468901</v>
      </c>
      <c r="AF22" s="1">
        <v>-0.98341127730963496</v>
      </c>
      <c r="AG22" s="1">
        <v>-1.7473770608601349</v>
      </c>
      <c r="AH22" s="1">
        <v>-2.294838739159005</v>
      </c>
      <c r="AI22" s="1">
        <v>-0.316008354134445</v>
      </c>
      <c r="AJ22" s="1">
        <v>-0.56391571761844994</v>
      </c>
      <c r="AK22" s="1">
        <v>-1.5338116575405651</v>
      </c>
      <c r="AL22" s="1">
        <v>0.69637882388404093</v>
      </c>
      <c r="AM22" s="1">
        <v>-0.76397160686440702</v>
      </c>
      <c r="AN22" s="1">
        <v>-1.162416555625315</v>
      </c>
      <c r="AO22" s="1">
        <v>-0.79783877068741993</v>
      </c>
      <c r="AP22" s="1">
        <v>-1.7960297014880551</v>
      </c>
      <c r="AQ22" s="1">
        <v>-1.8422592409878451</v>
      </c>
      <c r="AR22" s="1">
        <v>-1.7674175346461545</v>
      </c>
      <c r="AS22" s="1">
        <v>-0.69692238682645746</v>
      </c>
      <c r="AT22" s="2">
        <v>-0.65736860930875141</v>
      </c>
      <c r="AU22" s="2">
        <v>-0.97562154378580646</v>
      </c>
      <c r="AV22" s="2">
        <v>0.2930556417208845</v>
      </c>
      <c r="AW22" s="2">
        <v>-0.71778019224212453</v>
      </c>
      <c r="AX22" s="2">
        <v>-1.0563338594722904</v>
      </c>
      <c r="AY22" s="2">
        <v>-1.2630138734603724</v>
      </c>
      <c r="AZ22" s="2">
        <v>-0.52991966649059741</v>
      </c>
      <c r="BA22" s="2">
        <v>0.48660268277207053</v>
      </c>
      <c r="BB22" s="2">
        <v>-2.3051390473359268</v>
      </c>
      <c r="BC22" s="2">
        <v>-0.84800341166739002</v>
      </c>
      <c r="BD22" s="2">
        <v>-1.3691480860273366</v>
      </c>
      <c r="BE22" s="2">
        <v>-1.2622861119610966</v>
      </c>
      <c r="BF22" s="2">
        <v>-0.75698759859116049</v>
      </c>
      <c r="BG22" s="2">
        <v>-1.4705132476539844</v>
      </c>
      <c r="BH22" s="2">
        <v>-0.27281483341748147</v>
      </c>
      <c r="BI22" s="2">
        <v>-0.48375403103956449</v>
      </c>
      <c r="BJ22" s="2">
        <v>0.31187777722376453</v>
      </c>
      <c r="BK22" s="2">
        <v>-0.58652332142135044</v>
      </c>
      <c r="BL22" s="2">
        <v>-0.56553307749040349</v>
      </c>
      <c r="BM22" s="2">
        <v>-0.14124074103294346</v>
      </c>
      <c r="BN22" s="2">
        <v>-0.26444547195285334</v>
      </c>
      <c r="BO22" s="2">
        <v>-1.7133398560113546</v>
      </c>
      <c r="BP22" s="2">
        <v>-0.90414635573671642</v>
      </c>
      <c r="BQ22" s="2">
        <v>-0.54445772811854842</v>
      </c>
      <c r="BR22" s="2">
        <v>-1.9985097238530267</v>
      </c>
      <c r="BS22" s="2">
        <v>-2.0516045746026599</v>
      </c>
      <c r="BT22" s="2">
        <v>-0.71784215858864053</v>
      </c>
      <c r="BU22" s="2">
        <v>-7.4541232116964562E-2</v>
      </c>
      <c r="BV22" s="2">
        <v>-1.6551789797760066</v>
      </c>
      <c r="BW22" s="2">
        <v>-1.8567990110582864</v>
      </c>
      <c r="BX22" s="2">
        <v>-1.4483237716679065</v>
      </c>
      <c r="BY22" s="2">
        <v>-1.0312361667285666</v>
      </c>
      <c r="BZ22" s="2">
        <v>8.2872042564339332E-2</v>
      </c>
      <c r="CA22" s="2">
        <v>-0.20518543121385358</v>
      </c>
      <c r="CB22" s="2">
        <v>-0.98230400555784647</v>
      </c>
      <c r="CC22" s="2">
        <v>-1.0407145587422066</v>
      </c>
      <c r="CE22">
        <f t="shared" si="0"/>
        <v>-0.83943657700027141</v>
      </c>
      <c r="CF22">
        <f t="shared" si="1"/>
        <v>-0.84933894816230426</v>
      </c>
      <c r="CG22">
        <f t="shared" si="2"/>
        <v>1.0068874105184096</v>
      </c>
      <c r="CH22">
        <f t="shared" si="3"/>
        <v>0.95564405991992107</v>
      </c>
      <c r="CI22">
        <f t="shared" si="4"/>
        <v>9.9023711620327796E-3</v>
      </c>
      <c r="CJ22">
        <f t="shared" si="5"/>
        <v>1.9703835335952723E-2</v>
      </c>
      <c r="CK22" t="s">
        <v>58</v>
      </c>
      <c r="CN22" t="s">
        <v>82</v>
      </c>
      <c r="CO22">
        <v>0.39576586423127225</v>
      </c>
      <c r="CP22">
        <v>0.63613437629318281</v>
      </c>
    </row>
    <row r="23" spans="1:94" x14ac:dyDescent="0.2">
      <c r="A23" t="s">
        <v>59</v>
      </c>
      <c r="B23" s="1">
        <v>1.0062441681250909</v>
      </c>
      <c r="C23" s="1">
        <v>1.0597058555337027</v>
      </c>
      <c r="D23" s="1">
        <v>2.5736434185879196</v>
      </c>
      <c r="E23" s="1">
        <v>3.2563317146272794</v>
      </c>
      <c r="F23" s="1">
        <v>2.0082975714075095</v>
      </c>
      <c r="G23" s="1">
        <v>1.4192457454401397</v>
      </c>
      <c r="H23" s="1">
        <v>0.20422546048710674</v>
      </c>
      <c r="I23" s="1">
        <v>-0.3715679052381613</v>
      </c>
      <c r="J23" s="1">
        <v>1.1468950625984706</v>
      </c>
      <c r="K23" s="1">
        <v>0.65996463679665773</v>
      </c>
      <c r="L23" s="1">
        <v>4.4546406102745504</v>
      </c>
      <c r="M23" s="1">
        <v>1.2637044981813847</v>
      </c>
      <c r="N23" s="1">
        <v>0.93607310587312675</v>
      </c>
      <c r="O23" s="1">
        <v>-0.87544233538044014</v>
      </c>
      <c r="P23" s="1">
        <v>-0.14542510713730628</v>
      </c>
      <c r="Q23" s="1">
        <v>0.95025784594212426</v>
      </c>
      <c r="R23" s="1">
        <v>-0.34545840388961724</v>
      </c>
      <c r="S23" s="1">
        <v>1.0365130566897447</v>
      </c>
      <c r="T23" s="1">
        <v>1.0012626293118316</v>
      </c>
      <c r="U23" s="1">
        <v>1.1856092464783057</v>
      </c>
      <c r="V23" s="1">
        <v>2.07382849961862</v>
      </c>
      <c r="W23" s="1">
        <v>0.44902124703394897</v>
      </c>
      <c r="X23" s="1">
        <v>3.9185044915178695</v>
      </c>
      <c r="Y23" s="1">
        <v>3.4907281986007499</v>
      </c>
      <c r="Z23" s="1">
        <v>0.7173313433128683</v>
      </c>
      <c r="AA23" s="1">
        <v>-0.14296361032005783</v>
      </c>
      <c r="AB23" s="1">
        <v>0.25511224790494125</v>
      </c>
      <c r="AC23" s="1">
        <v>-0.16907045863310383</v>
      </c>
      <c r="AD23" s="1">
        <v>1.1064023746868799</v>
      </c>
      <c r="AE23" s="1">
        <v>2.2263445029193298</v>
      </c>
      <c r="AF23" s="1">
        <v>2.1348532314557795</v>
      </c>
      <c r="AG23" s="1">
        <v>2.53565317089424</v>
      </c>
      <c r="AH23" s="1">
        <v>1.3047898533207967</v>
      </c>
      <c r="AI23" s="1">
        <v>3.4924463662923397</v>
      </c>
      <c r="AJ23" s="1">
        <v>2.7294617881441896</v>
      </c>
      <c r="AK23" s="1">
        <v>0.42844113938473644</v>
      </c>
      <c r="AL23" s="1">
        <v>1.8870035824670941</v>
      </c>
      <c r="AM23" s="1">
        <v>1.7855540878165896</v>
      </c>
      <c r="AN23" s="1">
        <v>3.7596940643431997</v>
      </c>
      <c r="AO23" s="1">
        <v>3.06100604576761</v>
      </c>
      <c r="AP23" s="1">
        <v>1.9657938360770097</v>
      </c>
      <c r="AQ23" s="1">
        <v>3.5852015627483</v>
      </c>
      <c r="AR23" s="1">
        <v>-0.69110557693384389</v>
      </c>
      <c r="AS23" s="1">
        <v>0.26056941981348203</v>
      </c>
      <c r="AT23" s="2">
        <v>1.1570077199554172</v>
      </c>
      <c r="AU23" s="2">
        <v>0.87210536463438915</v>
      </c>
      <c r="AV23" s="2">
        <v>1.7002953112817851</v>
      </c>
      <c r="AW23" s="2">
        <v>1.6554142181995051</v>
      </c>
      <c r="AX23" s="2">
        <v>1.8244308634541351</v>
      </c>
      <c r="AY23" s="2">
        <v>0.74524889328669119</v>
      </c>
      <c r="AZ23" s="2">
        <v>0.20947053144187294</v>
      </c>
      <c r="BA23" s="2">
        <v>1.6092763633008051</v>
      </c>
      <c r="BB23" s="2">
        <v>1.4802560213249478</v>
      </c>
      <c r="BC23" s="2">
        <v>1.7866035801382845</v>
      </c>
      <c r="BD23" s="2">
        <v>2.8798889026752077</v>
      </c>
      <c r="BE23" s="2">
        <v>1.9769166131459679</v>
      </c>
      <c r="BF23" s="2">
        <v>0.93415902508315618</v>
      </c>
      <c r="BG23" s="2">
        <v>0.86734552546801513</v>
      </c>
      <c r="BH23" s="2">
        <v>0.72591216404411218</v>
      </c>
      <c r="BI23" s="2">
        <v>3.7083573524883753</v>
      </c>
      <c r="BJ23" s="2">
        <v>3.4903732707497852</v>
      </c>
      <c r="BK23" s="2">
        <v>2.2808878990554553</v>
      </c>
      <c r="BL23" s="2">
        <v>1.3789892469379452</v>
      </c>
      <c r="BM23" s="2">
        <v>1.4650662722353851</v>
      </c>
      <c r="BN23" s="2">
        <v>1.3616742668317452</v>
      </c>
      <c r="BO23" s="2">
        <v>-0.11270699528452183</v>
      </c>
      <c r="BP23" s="2">
        <v>3.2710290551879551</v>
      </c>
      <c r="BQ23" s="2">
        <v>1.7754978414691951</v>
      </c>
      <c r="BR23" s="2">
        <v>0.69428237528533776</v>
      </c>
      <c r="BS23" s="2">
        <v>-0.32081955580976312</v>
      </c>
      <c r="BT23" s="2">
        <v>0.68204327382447771</v>
      </c>
      <c r="BU23" s="2">
        <v>0.76583197255075786</v>
      </c>
      <c r="BV23" s="2">
        <v>0.66037346750589787</v>
      </c>
      <c r="BW23" s="2">
        <v>1.1249812081284278</v>
      </c>
      <c r="BX23" s="2">
        <v>1.0573338594688377</v>
      </c>
      <c r="BY23" s="2">
        <v>0.88345037650032787</v>
      </c>
      <c r="BZ23" s="2">
        <v>1.5983775724815876</v>
      </c>
      <c r="CA23" s="2">
        <v>2.1732781333426177</v>
      </c>
      <c r="CB23" s="2">
        <v>2.3518354198315978</v>
      </c>
      <c r="CC23" s="2">
        <v>-0.17331768882227422</v>
      </c>
      <c r="CE23">
        <f t="shared" si="0"/>
        <v>1.467939142794159</v>
      </c>
      <c r="CF23">
        <f t="shared" si="1"/>
        <v>1.4039208255942623</v>
      </c>
      <c r="CG23">
        <f t="shared" si="2"/>
        <v>1.0453733727201</v>
      </c>
      <c r="CH23">
        <f t="shared" si="3"/>
        <v>0.80556602791539722</v>
      </c>
      <c r="CI23">
        <f t="shared" si="4"/>
        <v>6.4018317199896743E-2</v>
      </c>
      <c r="CJ23">
        <f t="shared" si="5"/>
        <v>9.3898857002570987E-2</v>
      </c>
      <c r="CK23" t="s">
        <v>59</v>
      </c>
      <c r="CN23" t="s">
        <v>80</v>
      </c>
      <c r="CO23">
        <v>0.41990056001434994</v>
      </c>
      <c r="CP23">
        <v>0.57265661061710382</v>
      </c>
    </row>
    <row r="24" spans="1:94" x14ac:dyDescent="0.2">
      <c r="A24" t="s">
        <v>60</v>
      </c>
      <c r="B24" s="1">
        <v>2.8305996484722096</v>
      </c>
      <c r="C24" s="1">
        <v>3.98305747759259</v>
      </c>
      <c r="D24" s="1">
        <v>0.75416575081662673</v>
      </c>
      <c r="E24" s="1">
        <v>1.6208885165331597</v>
      </c>
      <c r="F24" s="1">
        <v>3.5548123743106297</v>
      </c>
      <c r="G24" s="1">
        <v>2.5772947303479197</v>
      </c>
      <c r="H24" s="1">
        <v>1.4850295412331798</v>
      </c>
      <c r="I24" s="1">
        <v>3.7762604334011698</v>
      </c>
      <c r="J24" s="1">
        <v>2.8941212664880895</v>
      </c>
      <c r="K24" s="1">
        <v>4.0628755638163101</v>
      </c>
      <c r="L24" s="1">
        <v>3.7038486447415297</v>
      </c>
      <c r="M24" s="1">
        <v>0.68160376396461364</v>
      </c>
      <c r="N24" s="1">
        <v>5.0878118208524796</v>
      </c>
      <c r="O24" s="1">
        <v>1.2631089385161998</v>
      </c>
      <c r="P24" s="1">
        <v>1.8705535616637099</v>
      </c>
      <c r="Q24" s="1">
        <v>3.033465859446391</v>
      </c>
      <c r="R24" s="1">
        <v>1.0834996899249998</v>
      </c>
      <c r="S24" s="1">
        <v>1.8813870847584298</v>
      </c>
      <c r="T24" s="1">
        <v>1.9826802550601799</v>
      </c>
      <c r="U24" s="1">
        <v>1.2381067878151097</v>
      </c>
      <c r="V24" s="1">
        <v>0.79865485511529966</v>
      </c>
      <c r="W24" s="1">
        <v>1.3038862002683498</v>
      </c>
      <c r="X24" s="1">
        <v>0.28519529699743867</v>
      </c>
      <c r="Y24" s="1">
        <v>0.90838159813532959</v>
      </c>
      <c r="Z24" s="1">
        <v>2.6340993426564712</v>
      </c>
      <c r="AA24" s="1">
        <v>-0.37751359251030348</v>
      </c>
      <c r="AB24" s="1">
        <v>3.2433349388816506</v>
      </c>
      <c r="AC24" s="1">
        <v>3.6570672708106406</v>
      </c>
      <c r="AD24" s="1">
        <v>1.2049429100366698</v>
      </c>
      <c r="AE24" s="1">
        <v>0.53974354319080065</v>
      </c>
      <c r="AF24" s="1">
        <v>1.2235150514870197</v>
      </c>
      <c r="AG24" s="1">
        <v>0.58271158798293066</v>
      </c>
      <c r="AH24" s="1">
        <v>1.6279522131632196</v>
      </c>
      <c r="AI24" s="1">
        <v>1.6498366234426898</v>
      </c>
      <c r="AJ24" s="1">
        <v>0.90648062947700958</v>
      </c>
      <c r="AK24" s="1">
        <v>1.5715077906613497</v>
      </c>
      <c r="AL24" s="1">
        <v>0.53662598718892929</v>
      </c>
      <c r="AM24" s="1">
        <v>-0.47656576105041532</v>
      </c>
      <c r="AN24" s="1">
        <v>6.0969487684398693E-2</v>
      </c>
      <c r="AO24" s="1">
        <v>0.16897917915627969</v>
      </c>
      <c r="AP24" s="1">
        <v>0.27828506987787166</v>
      </c>
      <c r="AQ24" s="1">
        <v>0.45864041948581069</v>
      </c>
      <c r="AR24" s="1">
        <v>1.7796393386814104</v>
      </c>
      <c r="AS24" s="1">
        <v>2.0994167834790605</v>
      </c>
      <c r="AT24" s="2">
        <v>0.76703354134414847</v>
      </c>
      <c r="AU24" s="2">
        <v>1.7335572530422305</v>
      </c>
      <c r="AV24" s="2">
        <v>0.46780080850047145</v>
      </c>
      <c r="AW24" s="2">
        <v>1.7215032048498604</v>
      </c>
      <c r="AX24" s="2">
        <v>-0.22512422347939592</v>
      </c>
      <c r="AY24" s="2">
        <v>6.9552884604986487E-2</v>
      </c>
      <c r="AZ24" s="2">
        <v>1.9060613615214903</v>
      </c>
      <c r="BA24" s="2">
        <v>2.5470396613870205</v>
      </c>
      <c r="BB24" s="2">
        <v>3.1457749495028091</v>
      </c>
      <c r="BC24" s="2">
        <v>1.4689380073346303</v>
      </c>
      <c r="BD24" s="2">
        <v>2.014043741008809</v>
      </c>
      <c r="BE24" s="2">
        <v>2.046628037740029</v>
      </c>
      <c r="BF24" s="2">
        <v>1.7483887717252005</v>
      </c>
      <c r="BG24" s="2">
        <v>0.23222536240504849</v>
      </c>
      <c r="BH24" s="2">
        <v>4.3639037520083708</v>
      </c>
      <c r="BI24" s="2">
        <v>3.9381474700021801</v>
      </c>
      <c r="BJ24" s="2">
        <v>3.9111185229056904</v>
      </c>
      <c r="BK24" s="2">
        <v>1.4071483544543304</v>
      </c>
      <c r="BL24" s="2">
        <v>1.3024272654819904</v>
      </c>
      <c r="BM24" s="2">
        <v>3.5959526375881006</v>
      </c>
      <c r="BN24" s="2">
        <v>3.0901982088396607</v>
      </c>
      <c r="BO24" s="2">
        <v>1.3811986677660806</v>
      </c>
      <c r="BP24" s="2">
        <v>1.1099285404509605</v>
      </c>
      <c r="BQ24" s="2">
        <v>0.48061870775172943</v>
      </c>
      <c r="BR24" s="2">
        <v>-1.6933121348201412</v>
      </c>
      <c r="BS24" s="2">
        <v>2.5084495930904613</v>
      </c>
      <c r="BT24" s="2">
        <v>2.685408823676239</v>
      </c>
      <c r="BU24" s="2">
        <v>3.743452099639109</v>
      </c>
      <c r="BV24" s="2">
        <v>3.465783428907379</v>
      </c>
      <c r="BW24" s="2">
        <v>0.5939426706479779</v>
      </c>
      <c r="BX24" s="2">
        <v>-0.73219283238582511</v>
      </c>
      <c r="BY24" s="2">
        <v>1.4096320785397289</v>
      </c>
      <c r="BZ24" s="2">
        <v>3.0326381139967888</v>
      </c>
      <c r="CA24" s="2">
        <v>1.841496108679219</v>
      </c>
      <c r="CB24" s="2">
        <v>1.8400420215938889</v>
      </c>
      <c r="CC24" s="2">
        <v>2.3211372048395988</v>
      </c>
      <c r="CE24">
        <f t="shared" si="0"/>
        <v>1.7279763289558057</v>
      </c>
      <c r="CF24">
        <f t="shared" si="1"/>
        <v>1.8122372962539122</v>
      </c>
      <c r="CG24">
        <f t="shared" si="2"/>
        <v>0.9432676089664449</v>
      </c>
      <c r="CH24">
        <f t="shared" si="3"/>
        <v>0.78434267683132086</v>
      </c>
      <c r="CI24">
        <f t="shared" si="4"/>
        <v>-8.4260967298106532E-2</v>
      </c>
      <c r="CJ24">
        <f t="shared" si="5"/>
        <v>0.10549415397103418</v>
      </c>
      <c r="CK24" t="s">
        <v>60</v>
      </c>
      <c r="CN24" t="s">
        <v>75</v>
      </c>
      <c r="CO24">
        <v>0.21122356525737213</v>
      </c>
      <c r="CP24">
        <v>0.55140659012378213</v>
      </c>
    </row>
    <row r="25" spans="1:94" x14ac:dyDescent="0.2">
      <c r="A25" t="s">
        <v>61</v>
      </c>
      <c r="B25" s="1">
        <v>0.2827134203779923</v>
      </c>
      <c r="C25" s="1" t="s">
        <v>67</v>
      </c>
      <c r="D25" s="1">
        <v>1.7888768419612562</v>
      </c>
      <c r="E25" s="1" t="s">
        <v>67</v>
      </c>
      <c r="F25" s="1">
        <v>2.8889628938931766</v>
      </c>
      <c r="G25" s="1">
        <v>1.8487925966990761</v>
      </c>
      <c r="H25" s="1">
        <v>-0.42515453707705442</v>
      </c>
      <c r="I25" s="1">
        <v>0.14859258145671528</v>
      </c>
      <c r="J25" s="1">
        <v>1.6946385778241264</v>
      </c>
      <c r="K25" s="1">
        <v>2.0666063645269865</v>
      </c>
      <c r="L25" s="1">
        <v>0.86768522004413629</v>
      </c>
      <c r="M25" s="1">
        <v>1.0955824660209363</v>
      </c>
      <c r="N25" s="1">
        <v>2.5507546154142267</v>
      </c>
      <c r="O25" s="1">
        <v>0.76206011612277624</v>
      </c>
      <c r="P25" s="1">
        <v>0.8338623805045362</v>
      </c>
      <c r="Q25" s="1">
        <v>1.1772728585424381</v>
      </c>
      <c r="R25" s="1">
        <v>1.8003065477654563</v>
      </c>
      <c r="S25" s="1">
        <v>1.6375768926388163</v>
      </c>
      <c r="T25" s="1">
        <v>0.87899184590309631</v>
      </c>
      <c r="U25" s="1">
        <v>0.97499937271985626</v>
      </c>
      <c r="V25" s="1">
        <v>1.0722871365514364</v>
      </c>
      <c r="W25" s="1">
        <v>1.3277516745822262</v>
      </c>
      <c r="X25" s="1">
        <v>5.1441060973099306E-2</v>
      </c>
      <c r="Y25" s="1">
        <v>0.77114481002803625</v>
      </c>
      <c r="Z25" s="1">
        <v>1.4041264723877322</v>
      </c>
      <c r="AA25" s="1">
        <v>0.19270864904538137</v>
      </c>
      <c r="AB25" s="1">
        <v>1.3829954440744061</v>
      </c>
      <c r="AC25" s="1">
        <v>1.7420327018485062</v>
      </c>
      <c r="AD25" s="1">
        <v>1.3402169930644563</v>
      </c>
      <c r="AE25" s="1">
        <v>1.5211796064177463</v>
      </c>
      <c r="AF25" s="1">
        <v>1.5872827312959064</v>
      </c>
      <c r="AG25" s="1">
        <v>1.1425716724119364</v>
      </c>
      <c r="AH25" s="1">
        <v>0.22968400408747125</v>
      </c>
      <c r="AI25" s="1">
        <v>0.56254373777905131</v>
      </c>
      <c r="AJ25" s="1">
        <v>0.6865395404225163</v>
      </c>
      <c r="AK25" s="1">
        <v>1.1977719246030862</v>
      </c>
      <c r="AL25" s="1">
        <v>3.1957439758457871</v>
      </c>
      <c r="AM25" s="1">
        <v>-0.30341401607947843</v>
      </c>
      <c r="AN25" s="1">
        <v>-0.60892191270239171</v>
      </c>
      <c r="AO25" s="1">
        <v>-0.22967235935371472</v>
      </c>
      <c r="AP25" s="1">
        <v>1.0211096181840362</v>
      </c>
      <c r="AQ25" s="1">
        <v>0.80246843942919632</v>
      </c>
      <c r="AR25" s="1">
        <v>1.2549115574114662</v>
      </c>
      <c r="AS25" s="1">
        <v>1.4930530345264061</v>
      </c>
      <c r="AT25" s="2">
        <v>3.1154520514518063</v>
      </c>
      <c r="AU25" s="2">
        <v>0.47961480230539816</v>
      </c>
      <c r="AV25" s="2">
        <v>0.7616758457451992</v>
      </c>
      <c r="AW25" s="2">
        <v>0.78349882073075916</v>
      </c>
      <c r="AX25" s="2">
        <v>-0.58749819446563589</v>
      </c>
      <c r="AY25" s="2">
        <v>-0.16818050597870582</v>
      </c>
      <c r="AZ25" s="2">
        <v>0.79657173459543618</v>
      </c>
      <c r="BA25" s="2">
        <v>1.3275755468619861</v>
      </c>
      <c r="BB25" s="2">
        <v>4.8083035063421464</v>
      </c>
      <c r="BC25" s="2">
        <v>0.74756869540932713</v>
      </c>
      <c r="BD25" s="2">
        <v>-1.026613900762374</v>
      </c>
      <c r="BE25" s="2">
        <v>-1.7303080183464941</v>
      </c>
      <c r="BF25" s="2">
        <v>1.1180678064322531</v>
      </c>
      <c r="BG25" s="2">
        <v>0.43480639462187715</v>
      </c>
      <c r="BH25" s="2">
        <v>0.58379409941018112</v>
      </c>
      <c r="BI25" s="2">
        <v>0.97317771035205614</v>
      </c>
      <c r="BJ25" s="2">
        <v>1.2010822559243362</v>
      </c>
      <c r="BK25" s="2">
        <v>0.65068050813401512</v>
      </c>
      <c r="BL25" s="2">
        <v>2.782909179202286</v>
      </c>
      <c r="BM25" s="2">
        <v>0.20856538469155134</v>
      </c>
      <c r="BN25" s="2">
        <v>1.5192842372411162</v>
      </c>
      <c r="BO25" s="2">
        <v>0.64842997158298721</v>
      </c>
      <c r="BP25" s="2">
        <v>2.023231917709766</v>
      </c>
      <c r="BQ25" s="2">
        <v>0.93209750104341815</v>
      </c>
      <c r="BR25" s="2">
        <v>-1.9221169123165238</v>
      </c>
      <c r="BS25" s="2">
        <v>1.6171820337530471</v>
      </c>
      <c r="BT25" s="2">
        <v>-0.38676965770607397</v>
      </c>
      <c r="BU25" s="2">
        <v>-0.22063130857331997</v>
      </c>
      <c r="BV25" s="2">
        <v>3.4885591384567762</v>
      </c>
      <c r="BW25" s="2">
        <v>1.0685042475211621</v>
      </c>
      <c r="BX25" s="2">
        <v>1.586621487192146</v>
      </c>
      <c r="BY25" s="2">
        <v>4.3494484616421563</v>
      </c>
      <c r="BZ25" s="2">
        <v>1.728258277218246</v>
      </c>
      <c r="CA25" s="2">
        <v>2.5263917957091264</v>
      </c>
      <c r="CB25" s="2">
        <v>4.014793908006606</v>
      </c>
      <c r="CC25" s="2">
        <v>-1.6665113451256439</v>
      </c>
      <c r="CE25">
        <f t="shared" si="0"/>
        <v>1.0883494655279253</v>
      </c>
      <c r="CF25">
        <f t="shared" si="1"/>
        <v>1.0713199298892329</v>
      </c>
      <c r="CG25">
        <f t="shared" si="2"/>
        <v>1.0118739164488502</v>
      </c>
      <c r="CH25">
        <f t="shared" si="3"/>
        <v>0.95439177316775226</v>
      </c>
      <c r="CI25">
        <f t="shared" si="4"/>
        <v>1.7029535638692458E-2</v>
      </c>
      <c r="CJ25">
        <f t="shared" si="5"/>
        <v>2.027331292871172E-2</v>
      </c>
      <c r="CK25" t="s">
        <v>61</v>
      </c>
      <c r="CN25" t="s">
        <v>66</v>
      </c>
      <c r="CO25">
        <v>-0.24663106956273678</v>
      </c>
      <c r="CP25">
        <v>0.53371759872887736</v>
      </c>
    </row>
    <row r="26" spans="1:94" x14ac:dyDescent="0.2">
      <c r="A26" t="s">
        <v>62</v>
      </c>
      <c r="B26" s="1">
        <v>0.75567568740455981</v>
      </c>
      <c r="C26" s="1">
        <v>2.5997062159198396</v>
      </c>
      <c r="D26" s="1">
        <v>1.7473159012895296</v>
      </c>
      <c r="E26" s="1">
        <v>0.79277612197130987</v>
      </c>
      <c r="F26" s="1">
        <v>5.0326916151018892</v>
      </c>
      <c r="G26" s="1">
        <v>3.2121848826861199</v>
      </c>
      <c r="H26" s="1">
        <v>1.6363108411170297</v>
      </c>
      <c r="I26" s="1">
        <v>1.2610787385127198</v>
      </c>
      <c r="J26" s="1">
        <v>1.6359162621057597</v>
      </c>
      <c r="K26" s="1">
        <v>2.7160989581332298</v>
      </c>
      <c r="L26" s="1">
        <v>2.6249188750003496</v>
      </c>
      <c r="M26" s="1">
        <v>1.1969809474546298</v>
      </c>
      <c r="N26" s="1">
        <v>4.5398408503322596</v>
      </c>
      <c r="O26" s="1">
        <v>1.8810008387047197</v>
      </c>
      <c r="P26" s="1">
        <v>1.6479888002918699</v>
      </c>
      <c r="Q26" s="1">
        <v>1.567002584956541</v>
      </c>
      <c r="R26" s="1">
        <v>2.6597260502071998</v>
      </c>
      <c r="S26" s="1">
        <v>0.95166826772295976</v>
      </c>
      <c r="T26" s="1">
        <v>1.1556780289142399</v>
      </c>
      <c r="U26" s="1">
        <v>0.74340188785734984</v>
      </c>
      <c r="V26" s="1">
        <v>0.70983412879400976</v>
      </c>
      <c r="W26" s="1">
        <v>0.9566197848025999</v>
      </c>
      <c r="X26" s="1">
        <v>0.81001381542119977</v>
      </c>
      <c r="Y26" s="1">
        <v>-0.36210793339650721</v>
      </c>
      <c r="Z26" s="1">
        <v>2.2260281199020731</v>
      </c>
      <c r="AA26" s="1">
        <v>0.31736669869139034</v>
      </c>
      <c r="AB26" s="1">
        <v>0.27667533601259936</v>
      </c>
      <c r="AC26" s="1">
        <v>1.2870744476786713</v>
      </c>
      <c r="AD26" s="1">
        <v>1.3732010022420198</v>
      </c>
      <c r="AE26" s="1">
        <v>1.9113088605891297</v>
      </c>
      <c r="AF26" s="1">
        <v>1.5590070875800097</v>
      </c>
      <c r="AG26" s="1">
        <v>0.6898338729400697</v>
      </c>
      <c r="AH26" s="1">
        <v>-9.8712984519051195E-2</v>
      </c>
      <c r="AI26" s="1">
        <v>0.1976322133579298</v>
      </c>
      <c r="AJ26" s="1">
        <v>0.34275291457784984</v>
      </c>
      <c r="AK26" s="1">
        <v>1.0787922568939099</v>
      </c>
      <c r="AL26" s="1">
        <v>2.6653546837111532</v>
      </c>
      <c r="AM26" s="1">
        <v>-0.58827036745882821</v>
      </c>
      <c r="AN26" s="1">
        <v>-0.29419494929021217</v>
      </c>
      <c r="AO26" s="1">
        <v>0.43774159882154984</v>
      </c>
      <c r="AP26" s="1">
        <v>-0.19409099312186517</v>
      </c>
      <c r="AQ26" s="1">
        <v>5.0510706066412836E-2</v>
      </c>
      <c r="AR26" s="1">
        <v>1.2370457580221514</v>
      </c>
      <c r="AS26" s="1">
        <v>1.8022144776534514</v>
      </c>
      <c r="AT26" s="2">
        <v>9.9877965196971549E-2</v>
      </c>
      <c r="AU26" s="2">
        <v>0.7495643397834294</v>
      </c>
      <c r="AV26" s="2">
        <v>1.4186721727013114</v>
      </c>
      <c r="AW26" s="2">
        <v>1.5111611179252513</v>
      </c>
      <c r="AX26" s="2">
        <v>1.5581634600814214</v>
      </c>
      <c r="AY26" s="2">
        <v>3.7214266101063815</v>
      </c>
      <c r="AZ26" s="2">
        <v>2.819597238676721</v>
      </c>
      <c r="BA26" s="2">
        <v>4.9522390218776513</v>
      </c>
      <c r="BB26" s="2">
        <v>2.4815447823321901E-2</v>
      </c>
      <c r="BC26" s="2">
        <v>0.69143811440594405</v>
      </c>
      <c r="BD26" s="2">
        <v>0.15543252960884485</v>
      </c>
      <c r="BE26" s="2">
        <v>1.7431189646157996</v>
      </c>
      <c r="BF26" s="2">
        <v>0.20908386409294036</v>
      </c>
      <c r="BG26" s="2">
        <v>-0.73912534292485166</v>
      </c>
      <c r="BH26" s="2">
        <v>1.2824263048804614</v>
      </c>
      <c r="BI26" s="2">
        <v>0.99989014316156033</v>
      </c>
      <c r="BJ26" s="2">
        <v>1.3471977043076413</v>
      </c>
      <c r="BK26" s="2">
        <v>1.5190644130832713</v>
      </c>
      <c r="BL26" s="2">
        <v>-5.3124746669785644E-2</v>
      </c>
      <c r="BM26" s="2">
        <v>0.45993899024338436</v>
      </c>
      <c r="BN26" s="2">
        <v>2.5184523972096011</v>
      </c>
      <c r="BO26" s="2">
        <v>0.42114551303894837</v>
      </c>
      <c r="BP26" s="2">
        <v>0.50642599141404232</v>
      </c>
      <c r="BQ26" s="2">
        <v>0.44818747733118336</v>
      </c>
      <c r="BR26" s="2">
        <v>-0.18651624046341519</v>
      </c>
      <c r="BS26" s="2">
        <v>1.1508315982033881</v>
      </c>
      <c r="BT26" s="2">
        <v>2.02881285535139</v>
      </c>
      <c r="BU26" s="2">
        <v>2.1602333311038397</v>
      </c>
      <c r="BV26" s="2">
        <v>1.8570616467254499</v>
      </c>
      <c r="BW26" s="2">
        <v>1.2599256663818248</v>
      </c>
      <c r="BX26" s="2">
        <v>1.2598978304583497</v>
      </c>
      <c r="BY26" s="2">
        <v>0.45562531298584186</v>
      </c>
      <c r="BZ26" s="2">
        <v>1.369066628498389</v>
      </c>
      <c r="CA26" s="2">
        <v>0.93783165680691682</v>
      </c>
      <c r="CB26" s="2">
        <v>1.4821835139709907</v>
      </c>
      <c r="CC26" s="2">
        <v>0.74322243731675386</v>
      </c>
      <c r="CE26">
        <f t="shared" si="0"/>
        <v>1.3352180202649047</v>
      </c>
      <c r="CF26">
        <f t="shared" si="1"/>
        <v>1.191201275814199</v>
      </c>
      <c r="CG26">
        <f t="shared" si="2"/>
        <v>1.1049773094996533</v>
      </c>
      <c r="CH26">
        <f t="shared" si="3"/>
        <v>0.57855169893750791</v>
      </c>
      <c r="CI26">
        <f t="shared" si="4"/>
        <v>0.14401674445070553</v>
      </c>
      <c r="CJ26">
        <f t="shared" si="5"/>
        <v>0.2376578267553118</v>
      </c>
      <c r="CK26" t="s">
        <v>62</v>
      </c>
      <c r="CN26" t="s">
        <v>63</v>
      </c>
      <c r="CO26">
        <v>0.25310107565165418</v>
      </c>
      <c r="CP26">
        <v>0.53054467105998848</v>
      </c>
    </row>
    <row r="27" spans="1:94" x14ac:dyDescent="0.2">
      <c r="A27" t="s">
        <v>63</v>
      </c>
      <c r="B27" s="1">
        <v>-1.0173259765059894E-2</v>
      </c>
      <c r="C27" s="1">
        <v>0.99207656415018985</v>
      </c>
      <c r="D27" s="1">
        <v>1.1034023195737499</v>
      </c>
      <c r="E27" s="1">
        <v>0.36288461191548005</v>
      </c>
      <c r="F27" s="1">
        <v>3.0679267037068199</v>
      </c>
      <c r="G27" s="1">
        <v>1.1105457842122999</v>
      </c>
      <c r="H27" s="1">
        <v>-4.7541279548610094E-2</v>
      </c>
      <c r="I27" s="1">
        <v>1.1164647002123702</v>
      </c>
      <c r="J27" s="1">
        <v>1.0422543652255098</v>
      </c>
      <c r="K27" s="1">
        <v>1.5556204848566602</v>
      </c>
      <c r="L27" s="1">
        <v>1.120352327857</v>
      </c>
      <c r="M27" s="1">
        <v>3.5095795658379201</v>
      </c>
      <c r="N27" s="1">
        <v>1.8874189948015301</v>
      </c>
      <c r="O27" s="1">
        <v>0.71197076561144002</v>
      </c>
      <c r="P27" s="1">
        <v>1.30364907110554</v>
      </c>
      <c r="Q27" s="1">
        <v>0.10747017008084321</v>
      </c>
      <c r="R27" s="1">
        <v>1.8275140725897401</v>
      </c>
      <c r="S27" s="1">
        <v>0.95779916483969019</v>
      </c>
      <c r="T27" s="1">
        <v>0.19776112167150006</v>
      </c>
      <c r="U27" s="1">
        <v>0.12932707429085011</v>
      </c>
      <c r="V27" s="1">
        <v>0.20687971893622992</v>
      </c>
      <c r="W27" s="1">
        <v>0.82269148233078004</v>
      </c>
      <c r="X27" s="1">
        <v>-0.65986427474973697</v>
      </c>
      <c r="Y27" s="1">
        <v>-1.1336963169224228</v>
      </c>
      <c r="Z27" s="1">
        <v>0.95828972785297073</v>
      </c>
      <c r="AA27" s="1">
        <v>0.42412173883899146</v>
      </c>
      <c r="AB27" s="1">
        <v>0.75254867400543612</v>
      </c>
      <c r="AC27" s="1">
        <v>1.2344355377010903</v>
      </c>
      <c r="AD27" s="1">
        <v>1.5663161274976398</v>
      </c>
      <c r="AE27" s="1">
        <v>0.91287193138455991</v>
      </c>
      <c r="AF27" s="1">
        <v>0.22297070460677992</v>
      </c>
      <c r="AG27" s="1">
        <v>-6.174566013375804E-2</v>
      </c>
      <c r="AH27" s="1">
        <v>-0.41070771394925898</v>
      </c>
      <c r="AI27" s="1">
        <v>-0.43962744724043801</v>
      </c>
      <c r="AJ27" s="1">
        <v>-0.69462976476946592</v>
      </c>
      <c r="AK27" s="1">
        <v>-0.253956304939016</v>
      </c>
      <c r="AL27" s="1">
        <v>3.3551462477891612</v>
      </c>
      <c r="AM27" s="1">
        <v>-1.4341906991055411</v>
      </c>
      <c r="AN27" s="1">
        <v>-1.0178923423258024</v>
      </c>
      <c r="AO27" s="1">
        <v>-0.52255460600382897</v>
      </c>
      <c r="AP27" s="1">
        <v>-0.541234053409825</v>
      </c>
      <c r="AQ27" s="1">
        <v>-0.59059851749106596</v>
      </c>
      <c r="AR27" s="1">
        <v>1.182504834481537</v>
      </c>
      <c r="AS27" s="1">
        <v>2.1323667409485703</v>
      </c>
      <c r="AT27" s="2">
        <v>-0.74937360975814982</v>
      </c>
      <c r="AU27" s="2">
        <v>-0.5089234171855318</v>
      </c>
      <c r="AV27" s="2">
        <v>1.0658456846359121</v>
      </c>
      <c r="AW27" s="2">
        <v>0.46074824022625094</v>
      </c>
      <c r="AX27" s="2">
        <v>-1.5051442723170099</v>
      </c>
      <c r="AY27" s="2">
        <v>-2.0221537859806098</v>
      </c>
      <c r="AZ27" s="2">
        <v>1.2809458111519541</v>
      </c>
      <c r="BA27" s="2">
        <v>0.8349551143632572</v>
      </c>
      <c r="BB27" s="2">
        <v>0.45670931360953199</v>
      </c>
      <c r="BC27" s="2">
        <v>4.546011048091711E-2</v>
      </c>
      <c r="BD27" s="2">
        <v>-0.82457062881164411</v>
      </c>
      <c r="BE27" s="2">
        <v>1.3190700625670981</v>
      </c>
      <c r="BF27" s="2">
        <v>-0.3157226769085959</v>
      </c>
      <c r="BG27" s="2">
        <v>0.12899406402759217</v>
      </c>
      <c r="BH27" s="2">
        <v>0.79071480103132408</v>
      </c>
      <c r="BI27" s="2">
        <v>1.9249289655425161E-2</v>
      </c>
      <c r="BJ27" s="2">
        <v>-0.15420087147104988</v>
      </c>
      <c r="BK27" s="2">
        <v>1.9787923099621301</v>
      </c>
      <c r="BL27" s="2">
        <v>0.12658803138813413</v>
      </c>
      <c r="BM27" s="2">
        <v>-0.14846126351584088</v>
      </c>
      <c r="BN27" s="2">
        <v>1.8014388367740501</v>
      </c>
      <c r="BO27" s="2">
        <v>-0.63078423120441984</v>
      </c>
      <c r="BP27" s="2">
        <v>1.074086774662796</v>
      </c>
      <c r="BQ27" s="2">
        <v>0.5437368058568699</v>
      </c>
      <c r="BR27" s="2">
        <v>-0.15453746935865098</v>
      </c>
      <c r="BS27" s="2">
        <v>1.1811872161046506</v>
      </c>
      <c r="BT27" s="2">
        <v>2.6535476696564859</v>
      </c>
      <c r="BU27" s="2">
        <v>1.532969552020065</v>
      </c>
      <c r="BV27" s="2">
        <v>1.122868737893215</v>
      </c>
      <c r="BW27" s="2">
        <v>-0.65187077210448408</v>
      </c>
      <c r="BX27" s="2">
        <v>0.93552417661340193</v>
      </c>
      <c r="BY27" s="2">
        <v>4.9818012150783963E-2</v>
      </c>
      <c r="BZ27" s="2">
        <v>1.6711159037010059</v>
      </c>
      <c r="CA27" s="2">
        <v>0.843798380746413</v>
      </c>
      <c r="CB27" s="2">
        <v>-0.98805842672498412</v>
      </c>
      <c r="CC27" s="2">
        <v>0.57951978415047056</v>
      </c>
      <c r="CE27">
        <f t="shared" si="0"/>
        <v>0.63765338837634211</v>
      </c>
      <c r="CF27">
        <f t="shared" si="1"/>
        <v>0.38455231272468793</v>
      </c>
      <c r="CG27">
        <f t="shared" si="2"/>
        <v>1.1917660671409849</v>
      </c>
      <c r="CH27">
        <f t="shared" si="3"/>
        <v>0.29475102832986699</v>
      </c>
      <c r="CI27">
        <f t="shared" si="4"/>
        <v>0.25310107565165418</v>
      </c>
      <c r="CJ27">
        <f t="shared" si="5"/>
        <v>0.53054467105998848</v>
      </c>
      <c r="CK27" t="s">
        <v>63</v>
      </c>
      <c r="CN27" t="s">
        <v>76</v>
      </c>
      <c r="CO27">
        <v>0.45152637109645655</v>
      </c>
      <c r="CP27">
        <v>0.49940733556916012</v>
      </c>
    </row>
    <row r="28" spans="1:94" x14ac:dyDescent="0.2">
      <c r="A28" t="s">
        <v>64</v>
      </c>
      <c r="B28" s="1">
        <v>4.5240303462795728E-2</v>
      </c>
      <c r="C28" s="1">
        <v>-7.4414132423731294E-2</v>
      </c>
      <c r="D28" s="1">
        <v>0.49487831404187477</v>
      </c>
      <c r="E28" s="1">
        <v>-1.2143334539085604</v>
      </c>
      <c r="F28" s="1">
        <v>0.88059439482283464</v>
      </c>
      <c r="G28" s="1">
        <v>0.45650794074921464</v>
      </c>
      <c r="H28" s="1">
        <v>-2.3264487361570354</v>
      </c>
      <c r="I28" s="1">
        <v>0.19914585156129672</v>
      </c>
      <c r="J28" s="1">
        <v>0.54619390135780466</v>
      </c>
      <c r="K28" s="1">
        <v>0.54827477310883477</v>
      </c>
      <c r="L28" s="1">
        <v>0.92834021250198473</v>
      </c>
      <c r="M28" s="1">
        <v>0.96535473560861462</v>
      </c>
      <c r="N28" s="1">
        <v>0.62202329975646464</v>
      </c>
      <c r="O28" s="1">
        <v>-1.1360644224742493</v>
      </c>
      <c r="P28" s="1">
        <v>-0.96161799572964135</v>
      </c>
      <c r="Q28" s="1">
        <v>-0.82580303391776033</v>
      </c>
      <c r="R28" s="1">
        <v>0.24069149088945374</v>
      </c>
      <c r="S28" s="1">
        <v>-0.32504714028228832</v>
      </c>
      <c r="T28" s="1">
        <v>-0.72849801450258478</v>
      </c>
      <c r="U28" s="1">
        <v>-1.5924201097109913</v>
      </c>
      <c r="V28" s="1">
        <v>-0.69845623813557078</v>
      </c>
      <c r="W28" s="1">
        <v>-0.4709801619193123</v>
      </c>
      <c r="X28" s="1">
        <v>-2.6352265031161752</v>
      </c>
      <c r="Y28" s="1">
        <v>-2.4370903073214651</v>
      </c>
      <c r="Z28" s="1">
        <v>-0.74705884430858138</v>
      </c>
      <c r="AA28" s="1">
        <v>-0.86481402919048111</v>
      </c>
      <c r="AB28" s="1">
        <v>-1.9627052397490212</v>
      </c>
      <c r="AC28" s="1">
        <v>-1.2117357712518511</v>
      </c>
      <c r="AD28" s="1">
        <v>0.26738379244583366</v>
      </c>
      <c r="AE28" s="1">
        <v>2.7437805551763672E-2</v>
      </c>
      <c r="AF28" s="1">
        <v>-0.21762472679636424</v>
      </c>
      <c r="AG28" s="1">
        <v>-0.45525297413060628</v>
      </c>
      <c r="AH28" s="1">
        <v>-2.4074867831004254</v>
      </c>
      <c r="AI28" s="1">
        <v>-0.48829207558608329</v>
      </c>
      <c r="AJ28" s="1">
        <v>-1.3629663016362963</v>
      </c>
      <c r="AK28" s="1">
        <v>-2.5581913754663121E-3</v>
      </c>
      <c r="AL28" s="1">
        <v>1.3132451641213496</v>
      </c>
      <c r="AM28" s="1">
        <v>-2.5371839568305052</v>
      </c>
      <c r="AN28" s="1">
        <v>-2.1285451892605951</v>
      </c>
      <c r="AO28" s="1">
        <v>-2.2115859053159252</v>
      </c>
      <c r="AP28" s="1">
        <v>-2.7986086494282851</v>
      </c>
      <c r="AQ28" s="1">
        <v>-2.3456298765712651</v>
      </c>
      <c r="AR28" s="1">
        <v>-0.46246316051448205</v>
      </c>
      <c r="AS28" s="1">
        <v>-0.19664031268067311</v>
      </c>
      <c r="AT28" s="2">
        <v>-0.31484142012694111</v>
      </c>
      <c r="AU28" s="2">
        <v>-0.76261965815175903</v>
      </c>
      <c r="AV28" s="2">
        <v>0.56164762496393594</v>
      </c>
      <c r="AW28" s="2">
        <v>0.14998064969366989</v>
      </c>
      <c r="AX28" s="2">
        <v>-0.1221299471794951</v>
      </c>
      <c r="AY28" s="2">
        <v>-0.92924306903688114</v>
      </c>
      <c r="AZ28" s="2">
        <v>-1.5210493323503511</v>
      </c>
      <c r="BA28" s="2">
        <v>-0.43283250475312912</v>
      </c>
      <c r="BB28" s="2">
        <v>-0.36295496449595366</v>
      </c>
      <c r="BC28" s="2">
        <v>-0.3564367533903654</v>
      </c>
      <c r="BD28" s="2">
        <v>-1.0468910617237697</v>
      </c>
      <c r="BE28" s="2">
        <v>-0.31633913165444272</v>
      </c>
      <c r="BF28" s="2">
        <v>-0.87548418067815126</v>
      </c>
      <c r="BG28" s="2">
        <v>-0.41743755946604916</v>
      </c>
      <c r="BH28" s="2">
        <v>-0.90990448900082121</v>
      </c>
      <c r="BI28" s="2">
        <v>0.35802850299466393</v>
      </c>
      <c r="BJ28" s="2">
        <v>0.20798681214219109</v>
      </c>
      <c r="BK28" s="2">
        <v>1.2220826283366903E-2</v>
      </c>
      <c r="BL28" s="2">
        <v>-0.38568444845197608</v>
      </c>
      <c r="BM28" s="2">
        <v>0.10992994871036119</v>
      </c>
      <c r="BN28" s="2">
        <v>-0.1925586662883691</v>
      </c>
      <c r="BO28" s="2">
        <v>-1.5003788665868611</v>
      </c>
      <c r="BP28" s="2">
        <v>5.4213625379759892E-2</v>
      </c>
      <c r="BQ28" s="2">
        <v>-1.2707883348869611</v>
      </c>
      <c r="BR28" s="2">
        <v>-1.5133352692026898</v>
      </c>
      <c r="BS28" s="2">
        <v>-1.4311420445260805</v>
      </c>
      <c r="BT28" s="2">
        <v>-1.0450391308388598</v>
      </c>
      <c r="BU28" s="2">
        <v>1.0468783202596503</v>
      </c>
      <c r="BV28" s="2">
        <v>-0.85427523972194974</v>
      </c>
      <c r="BW28" s="2">
        <v>-1.7137857280396196</v>
      </c>
      <c r="BX28" s="2">
        <v>-1.3321431393943597</v>
      </c>
      <c r="BY28" s="2">
        <v>0.38956068798010229</v>
      </c>
      <c r="BZ28" s="2">
        <v>-9.1489941853937662E-2</v>
      </c>
      <c r="CA28" s="2">
        <v>-3.9615343725765695E-2</v>
      </c>
      <c r="CB28" s="2">
        <v>1.8305197591839002</v>
      </c>
      <c r="CC28" s="2">
        <v>0.45993760890923663</v>
      </c>
      <c r="CE28">
        <f t="shared" si="0"/>
        <v>-0.6884600058487762</v>
      </c>
      <c r="CF28">
        <f t="shared" si="1"/>
        <v>-0.40437488497290847</v>
      </c>
      <c r="CG28">
        <f t="shared" si="2"/>
        <v>0.82126224378655588</v>
      </c>
      <c r="CH28">
        <f t="shared" si="3"/>
        <v>0.19260138412167854</v>
      </c>
      <c r="CI28">
        <f t="shared" si="4"/>
        <v>-0.28408512087586785</v>
      </c>
      <c r="CJ28">
        <f t="shared" si="5"/>
        <v>0.71534059616139423</v>
      </c>
      <c r="CK28" t="s">
        <v>64</v>
      </c>
      <c r="CN28" t="s">
        <v>57</v>
      </c>
      <c r="CO28">
        <v>-0.342483763779452</v>
      </c>
      <c r="CP28">
        <v>0.47722196733485672</v>
      </c>
    </row>
    <row r="29" spans="1:94" x14ac:dyDescent="0.2">
      <c r="A29" t="s">
        <v>65</v>
      </c>
      <c r="B29" s="1">
        <v>-1.3160124322933253</v>
      </c>
      <c r="C29" s="1">
        <v>-1.1324106060109682</v>
      </c>
      <c r="D29" s="1">
        <v>0.70586527587043568</v>
      </c>
      <c r="E29" s="1">
        <v>-1.2994562927467332</v>
      </c>
      <c r="F29" s="1">
        <v>-0.73071186485807527</v>
      </c>
      <c r="G29" s="1">
        <v>-1.7957982702435844</v>
      </c>
      <c r="H29" s="1">
        <v>-3.189360141765254</v>
      </c>
      <c r="I29" s="1">
        <v>-1.1241426225281503</v>
      </c>
      <c r="J29" s="1">
        <v>-0.72571600368618117</v>
      </c>
      <c r="K29" s="1">
        <v>-2.2440683384534643</v>
      </c>
      <c r="L29" s="1">
        <v>-1.2545922806486198E-2</v>
      </c>
      <c r="M29" s="1">
        <v>0.13305347039623983</v>
      </c>
      <c r="N29" s="1">
        <v>-1.1183047752568553</v>
      </c>
      <c r="O29" s="1">
        <v>-3.6859958843575442</v>
      </c>
      <c r="P29" s="1">
        <v>-2.8782805811655039</v>
      </c>
      <c r="Q29" s="1">
        <v>-1.4240111783895815</v>
      </c>
      <c r="R29" s="1">
        <v>-3.291446079536104</v>
      </c>
      <c r="S29" s="1">
        <v>-0.4979072633328806</v>
      </c>
      <c r="T29" s="1">
        <v>-1.2525239212413182</v>
      </c>
      <c r="U29" s="1">
        <v>-1.9682559348053843</v>
      </c>
      <c r="V29" s="1">
        <v>-0.1236491981025582</v>
      </c>
      <c r="W29" s="1">
        <v>-1.0779582296056214</v>
      </c>
      <c r="X29" s="1">
        <v>-1.4718743622981683</v>
      </c>
      <c r="Y29" s="1">
        <v>-1.5329537272004741</v>
      </c>
      <c r="Z29" s="1">
        <v>-1.9811698061717584</v>
      </c>
      <c r="AA29" s="1">
        <v>-0.99417303122683331</v>
      </c>
      <c r="AB29" s="1">
        <v>-2.1017816367058635</v>
      </c>
      <c r="AC29" s="1">
        <v>-1.5865839991516333</v>
      </c>
      <c r="AD29" s="1">
        <v>6.0691221519537653E-3</v>
      </c>
      <c r="AE29" s="1">
        <v>1.2593540169317059</v>
      </c>
      <c r="AF29" s="1">
        <v>0.78185762286101579</v>
      </c>
      <c r="AG29" s="1">
        <v>0.91861033336417586</v>
      </c>
      <c r="AH29" s="1">
        <v>-2.149255151374974</v>
      </c>
      <c r="AI29" s="1">
        <v>0.42172325873263383</v>
      </c>
      <c r="AJ29" s="1">
        <v>0.28273086839069084</v>
      </c>
      <c r="AK29" s="1">
        <v>-0.14540927942620024</v>
      </c>
      <c r="AL29" s="1">
        <v>0.14016516645720567</v>
      </c>
      <c r="AM29" s="1">
        <v>-3.0854094251850039</v>
      </c>
      <c r="AN29" s="1">
        <v>-0.47552937029142917</v>
      </c>
      <c r="AO29" s="1">
        <v>-2.2775581055901344</v>
      </c>
      <c r="AP29" s="1">
        <v>-1.8230702448948644</v>
      </c>
      <c r="AQ29" s="1">
        <v>-1.1664453562646133</v>
      </c>
      <c r="AR29" s="1">
        <v>-1.8404475595400533</v>
      </c>
      <c r="AS29" s="1">
        <v>-1.6412396004042633</v>
      </c>
      <c r="AT29" s="2">
        <v>-0.14603487012133437</v>
      </c>
      <c r="AU29" s="2">
        <v>-0.91003672791584633</v>
      </c>
      <c r="AV29" s="2">
        <v>-0.72570371133319633</v>
      </c>
      <c r="AW29" s="2">
        <v>-0.75773161402321942</v>
      </c>
      <c r="AX29" s="2">
        <v>-1.8896586876601034</v>
      </c>
      <c r="AY29" s="2">
        <v>-2.1725268371584332</v>
      </c>
      <c r="AZ29" s="2">
        <v>-2.2894509078157834</v>
      </c>
      <c r="BA29" s="2">
        <v>-1.2137225968480734</v>
      </c>
      <c r="BB29" s="2">
        <v>-1.4006983589081401</v>
      </c>
      <c r="BC29" s="2">
        <v>-1.5264087277659932</v>
      </c>
      <c r="BD29" s="2">
        <v>0.62647087077424102</v>
      </c>
      <c r="BE29" s="2">
        <v>-0.88374712797332022</v>
      </c>
      <c r="BF29" s="2">
        <v>-1.0429897348827635</v>
      </c>
      <c r="BG29" s="2">
        <v>-0.42972553786356338</v>
      </c>
      <c r="BH29" s="2">
        <v>-1.8941586843561433</v>
      </c>
      <c r="BI29" s="2">
        <v>1.3134903181112967</v>
      </c>
      <c r="BJ29" s="2">
        <v>-7.8214650756100373E-2</v>
      </c>
      <c r="BK29" s="2">
        <v>-0.65668303107949233</v>
      </c>
      <c r="BL29" s="2">
        <v>-1.1843265571938133</v>
      </c>
      <c r="BM29" s="2">
        <v>-1.7640355447208134</v>
      </c>
      <c r="BN29" s="2">
        <v>-1.8838326155247533</v>
      </c>
      <c r="BO29" s="2">
        <v>-1.0766501132208535</v>
      </c>
      <c r="BP29" s="2">
        <v>1.3579271934486565</v>
      </c>
      <c r="BQ29" s="2">
        <v>-1.0519063391817034</v>
      </c>
      <c r="BR29" s="2">
        <v>-1.3052364500366902</v>
      </c>
      <c r="BS29" s="2">
        <v>-0.96333902631962443</v>
      </c>
      <c r="BT29" s="2">
        <v>-1.0767843718486003</v>
      </c>
      <c r="BU29" s="2">
        <v>-1.6014396366078001</v>
      </c>
      <c r="BV29" s="2">
        <v>-0.66824914246008027</v>
      </c>
      <c r="BW29" s="2">
        <v>-1.6439578934855004</v>
      </c>
      <c r="BX29" s="2">
        <v>-1.5442573721977702</v>
      </c>
      <c r="BY29" s="2">
        <v>-2.7469132145325998</v>
      </c>
      <c r="BZ29" s="2">
        <v>-1.4783486643410402</v>
      </c>
      <c r="CA29" s="2">
        <v>-0.7253122581964202</v>
      </c>
      <c r="CB29" s="2">
        <v>-0.21404777780588824</v>
      </c>
      <c r="CC29" s="2">
        <v>-3.3675765599010203</v>
      </c>
      <c r="CE29">
        <f t="shared" si="0"/>
        <v>-1.148000615039904</v>
      </c>
      <c r="CF29">
        <f t="shared" si="1"/>
        <v>-1.0837726933806187</v>
      </c>
      <c r="CG29">
        <f t="shared" si="2"/>
        <v>0.95645704195802361</v>
      </c>
      <c r="CH29">
        <f t="shared" si="3"/>
        <v>0.7908524145538689</v>
      </c>
      <c r="CI29">
        <f t="shared" si="4"/>
        <v>-6.42279216592853E-2</v>
      </c>
      <c r="CJ29">
        <f t="shared" si="5"/>
        <v>0.10190455509285215</v>
      </c>
      <c r="CK29" t="s">
        <v>65</v>
      </c>
      <c r="CN29" t="s">
        <v>107</v>
      </c>
      <c r="CO29">
        <v>-0.30066403505765493</v>
      </c>
      <c r="CP29">
        <v>0.47474122352032389</v>
      </c>
    </row>
    <row r="30" spans="1:94" x14ac:dyDescent="0.2">
      <c r="A30" t="s">
        <v>66</v>
      </c>
      <c r="B30" s="1">
        <v>0.41059081370990547</v>
      </c>
      <c r="C30" s="1">
        <v>2.0119631394799136</v>
      </c>
      <c r="D30" s="1">
        <v>2.8087789358058433</v>
      </c>
      <c r="E30" s="1">
        <v>2.5769350445474832</v>
      </c>
      <c r="F30" s="1" t="s">
        <v>67</v>
      </c>
      <c r="G30" s="1">
        <v>2.4952678464597233</v>
      </c>
      <c r="H30" s="1">
        <v>2.3458127062695833</v>
      </c>
      <c r="I30" s="1">
        <v>2.8669844140538836</v>
      </c>
      <c r="J30" s="1">
        <v>2.3035001626255234</v>
      </c>
      <c r="K30" s="1">
        <v>2.3614586669236632</v>
      </c>
      <c r="L30" s="1">
        <v>2.6254712066555634</v>
      </c>
      <c r="M30" s="1">
        <v>1.8946458400388133</v>
      </c>
      <c r="N30" s="1">
        <v>3.4129363779181037</v>
      </c>
      <c r="O30" s="1">
        <v>1.7417719249172636</v>
      </c>
      <c r="P30" s="1">
        <v>1.8149495899053933</v>
      </c>
      <c r="Q30" s="1">
        <v>3.332521604482551</v>
      </c>
      <c r="R30" s="1">
        <v>2.9019920623322535</v>
      </c>
      <c r="S30" s="1">
        <v>3.4066444079361036</v>
      </c>
      <c r="T30" s="1">
        <v>2.2597111174470434</v>
      </c>
      <c r="U30" s="1">
        <v>2.2978880046704036</v>
      </c>
      <c r="V30" s="1">
        <v>1.1921229686078834</v>
      </c>
      <c r="W30" s="1" t="s">
        <v>67</v>
      </c>
      <c r="X30" s="1">
        <v>-3.5267799211103568E-2</v>
      </c>
      <c r="Y30" s="1">
        <v>0.28053291104542344</v>
      </c>
      <c r="Z30" s="1">
        <v>3.1068597421797515</v>
      </c>
      <c r="AA30" s="1">
        <v>1.1409957971874429</v>
      </c>
      <c r="AB30" s="1">
        <v>2.9850263891714328</v>
      </c>
      <c r="AC30" s="1">
        <v>3.3652019529799229</v>
      </c>
      <c r="AD30" s="1">
        <v>1.8190446796528033</v>
      </c>
      <c r="AE30" s="1">
        <v>2.2183572087522037</v>
      </c>
      <c r="AF30" s="1">
        <v>2.2084175423374335</v>
      </c>
      <c r="AG30" s="1" t="s">
        <v>67</v>
      </c>
      <c r="AH30" s="1" t="s">
        <v>67</v>
      </c>
      <c r="AI30" s="1">
        <v>1.7159918375981933</v>
      </c>
      <c r="AJ30" s="1">
        <v>2.2096575792598734</v>
      </c>
      <c r="AK30" s="1">
        <v>1.8237872446767636</v>
      </c>
      <c r="AL30" s="1">
        <v>1.1474673561588011</v>
      </c>
      <c r="AM30" s="1">
        <v>0.97330443028892355</v>
      </c>
      <c r="AN30" s="1">
        <v>1.0528453075648334</v>
      </c>
      <c r="AO30" s="1">
        <v>1.0557544996603234</v>
      </c>
      <c r="AP30" s="1">
        <v>0.28070579743296342</v>
      </c>
      <c r="AQ30" s="1">
        <v>1.0546095938399636</v>
      </c>
      <c r="AR30" s="1" t="s">
        <v>67</v>
      </c>
      <c r="AS30" s="1">
        <v>3.7438060394201331</v>
      </c>
      <c r="AT30" s="2">
        <v>2.5605476526112727</v>
      </c>
      <c r="AU30" s="2" t="s">
        <v>67</v>
      </c>
      <c r="AV30" s="2">
        <v>2.439602086005793</v>
      </c>
      <c r="AW30" s="2">
        <v>3.2376806260498929</v>
      </c>
      <c r="AX30" s="2">
        <v>1.3901914283295529</v>
      </c>
      <c r="AY30" s="2">
        <v>1.6005297841432229</v>
      </c>
      <c r="AZ30" s="2">
        <v>0.8142033623541669</v>
      </c>
      <c r="BA30" s="2">
        <v>3.1724050565465429</v>
      </c>
      <c r="BB30" s="2">
        <v>2.7622341835477719</v>
      </c>
      <c r="BC30" s="2">
        <v>2.6130072469465411</v>
      </c>
      <c r="BD30" s="2">
        <v>1.5835197834385619</v>
      </c>
      <c r="BE30" s="2">
        <v>1.5003700316111619</v>
      </c>
      <c r="BF30" s="2">
        <v>2.0353144763597228</v>
      </c>
      <c r="BG30" s="2">
        <v>1.419129532264763</v>
      </c>
      <c r="BH30" s="2">
        <v>3.808260993554943</v>
      </c>
      <c r="BI30" s="2">
        <v>2.9287632020205927</v>
      </c>
      <c r="BJ30" s="2">
        <v>3.215718128996623</v>
      </c>
      <c r="BK30" s="2">
        <v>2.6345230962825328</v>
      </c>
      <c r="BL30" s="2">
        <v>2.0450666114510629</v>
      </c>
      <c r="BM30" s="2" t="s">
        <v>67</v>
      </c>
      <c r="BN30" s="2">
        <v>4.2498712078798526</v>
      </c>
      <c r="BO30" s="2">
        <v>4.974829815381673</v>
      </c>
      <c r="BP30" s="2">
        <v>1.500815793287323</v>
      </c>
      <c r="BQ30" s="2">
        <v>0.91626224103905285</v>
      </c>
      <c r="BR30" s="2">
        <v>0.2280743958622127</v>
      </c>
      <c r="BS30" s="2">
        <v>3.381126807370971</v>
      </c>
      <c r="BT30" s="2">
        <v>1.537466398900442</v>
      </c>
      <c r="BU30" s="2">
        <v>2.2750586351131821</v>
      </c>
      <c r="BV30" s="2">
        <v>3.124933373875312</v>
      </c>
      <c r="BW30" s="2">
        <v>1.145047811936678</v>
      </c>
      <c r="BX30" s="2">
        <v>1.629874061301122</v>
      </c>
      <c r="BY30" s="2">
        <v>2.7052455696493718</v>
      </c>
      <c r="BZ30" s="2">
        <v>2.2540596827431418</v>
      </c>
      <c r="CA30" s="2">
        <v>2.115030195241812</v>
      </c>
      <c r="CB30" s="2">
        <v>1.918416960462842</v>
      </c>
      <c r="CC30" s="2">
        <v>1.722315315204672</v>
      </c>
      <c r="CE30">
        <f t="shared" si="0"/>
        <v>2.0310011524303331</v>
      </c>
      <c r="CF30">
        <f t="shared" si="1"/>
        <v>2.2776322219930698</v>
      </c>
      <c r="CG30">
        <f t="shared" si="2"/>
        <v>0.8428623413107017</v>
      </c>
      <c r="CH30">
        <f t="shared" si="3"/>
        <v>0.29260544349162226</v>
      </c>
      <c r="CI30">
        <f t="shared" si="4"/>
        <v>-0.24663106956273678</v>
      </c>
      <c r="CJ30">
        <f t="shared" si="5"/>
        <v>0.53371759872887736</v>
      </c>
      <c r="CK30" t="s">
        <v>66</v>
      </c>
      <c r="CN30" t="s">
        <v>110</v>
      </c>
      <c r="CO30">
        <v>-0.22049639353965741</v>
      </c>
      <c r="CP30">
        <v>0.42782846595981278</v>
      </c>
    </row>
    <row r="31" spans="1:94" x14ac:dyDescent="0.2">
      <c r="A31" t="s">
        <v>68</v>
      </c>
      <c r="B31" s="1">
        <v>-0.63364788719864795</v>
      </c>
      <c r="C31" s="1">
        <v>1.235393307482616</v>
      </c>
      <c r="D31" s="1">
        <v>0.91349292020404615</v>
      </c>
      <c r="E31" s="1">
        <v>-3.644700015532594E-2</v>
      </c>
      <c r="F31" s="1">
        <v>3.3969457267761061</v>
      </c>
      <c r="G31" s="1">
        <v>1.5498225131512862</v>
      </c>
      <c r="H31" s="1">
        <v>0.37341318193348905</v>
      </c>
      <c r="I31" s="1">
        <v>0.79005607026980107</v>
      </c>
      <c r="J31" s="1">
        <v>0.99165081838983615</v>
      </c>
      <c r="K31" s="1">
        <v>0.21787265470600509</v>
      </c>
      <c r="L31" s="1">
        <v>1.6633948519429063</v>
      </c>
      <c r="M31" s="1">
        <v>-0.14491763698208474</v>
      </c>
      <c r="N31" s="1">
        <v>1.9456006687063461</v>
      </c>
      <c r="O31" s="1">
        <v>0.20033274755903607</v>
      </c>
      <c r="P31" s="1">
        <v>8.2149341757060679E-3</v>
      </c>
      <c r="Q31" s="1">
        <v>1.2832132652824737</v>
      </c>
      <c r="R31" s="1">
        <v>1.7045301805410062</v>
      </c>
      <c r="S31" s="1">
        <v>1.4843326610616661</v>
      </c>
      <c r="T31" s="1">
        <v>1.8750394936972063</v>
      </c>
      <c r="U31" s="1">
        <v>0.78925533848899809</v>
      </c>
      <c r="V31" s="1">
        <v>0.81178005048204205</v>
      </c>
      <c r="W31" s="1">
        <v>0.97818416229921612</v>
      </c>
      <c r="X31" s="1">
        <v>0.32309369746388306</v>
      </c>
      <c r="Y31" s="1">
        <v>-0.22443565372005084</v>
      </c>
      <c r="Z31" s="1">
        <v>0.43234750395567279</v>
      </c>
      <c r="AA31" s="1">
        <v>-1.3174695508852758</v>
      </c>
      <c r="AB31" s="1">
        <v>1.0622324743981242</v>
      </c>
      <c r="AC31" s="1">
        <v>1.5113694824542141</v>
      </c>
      <c r="AD31" s="1">
        <v>0.55973547269967405</v>
      </c>
      <c r="AE31" s="1">
        <v>1.9589204178869162</v>
      </c>
      <c r="AF31" s="1">
        <v>1.001887773056986</v>
      </c>
      <c r="AG31" s="1">
        <v>0.391333829781353</v>
      </c>
      <c r="AH31" s="1">
        <v>-1.3684126514552339</v>
      </c>
      <c r="AI31" s="1">
        <v>-1.111924959565795</v>
      </c>
      <c r="AJ31" s="1">
        <v>-1.9804862616142949E-2</v>
      </c>
      <c r="AK31" s="1">
        <v>0.85003167960958603</v>
      </c>
      <c r="AL31" s="1">
        <v>1.3787513978850898</v>
      </c>
      <c r="AM31" s="1">
        <v>0.32162552648856707</v>
      </c>
      <c r="AN31" s="1">
        <v>1.1080549971726161</v>
      </c>
      <c r="AO31" s="1">
        <v>1.793760038970746</v>
      </c>
      <c r="AP31" s="1">
        <v>0.80642939156682303</v>
      </c>
      <c r="AQ31" s="1">
        <v>0.97177214205301599</v>
      </c>
      <c r="AR31" s="1">
        <v>1.036586198793034</v>
      </c>
      <c r="AS31" s="1">
        <v>1.3533431188263541</v>
      </c>
      <c r="AT31" s="2">
        <v>-0.25537636885201326</v>
      </c>
      <c r="AU31" s="2">
        <v>0.51814331711186412</v>
      </c>
      <c r="AV31" s="2">
        <v>1.3427850230762641</v>
      </c>
      <c r="AW31" s="2">
        <v>1.9650581675243342</v>
      </c>
      <c r="AX31" s="2">
        <v>1.2084058985571942</v>
      </c>
      <c r="AY31" s="2">
        <v>0.55952800420861215</v>
      </c>
      <c r="AZ31" s="2">
        <v>0.93769534896558415</v>
      </c>
      <c r="BA31" s="2">
        <v>1.1915532407733742</v>
      </c>
      <c r="BB31" s="2">
        <v>-0.18777132373636363</v>
      </c>
      <c r="BC31" s="2">
        <v>1.4900166006003888</v>
      </c>
      <c r="BD31" s="2">
        <v>-0.51939774013428663</v>
      </c>
      <c r="BE31" s="2">
        <v>-1.6738952776491156</v>
      </c>
      <c r="BF31" s="2">
        <v>0.95794781036452403</v>
      </c>
      <c r="BG31" s="2">
        <v>0.42442311148761913</v>
      </c>
      <c r="BH31" s="2">
        <v>1.7558828184521442</v>
      </c>
      <c r="BI31" s="2">
        <v>1.3423293390903241</v>
      </c>
      <c r="BJ31" s="2">
        <v>1.872762567495484</v>
      </c>
      <c r="BK31" s="2">
        <v>1.3319720823230841</v>
      </c>
      <c r="BL31" s="2">
        <v>1.2804737497586742</v>
      </c>
      <c r="BM31" s="2">
        <v>1.0056322693821742</v>
      </c>
      <c r="BN31" s="2">
        <v>2.2215261261225345</v>
      </c>
      <c r="BO31" s="2">
        <v>0.12179524779172812</v>
      </c>
      <c r="BP31" s="2">
        <v>2.1018544380446542</v>
      </c>
      <c r="BQ31" s="2">
        <v>1.1549420550964442</v>
      </c>
      <c r="BR31" s="2">
        <v>-0.37586539643003958</v>
      </c>
      <c r="BS31" s="2">
        <v>-0.2193518492652532</v>
      </c>
      <c r="BT31" s="2">
        <v>-0.12574903188973158</v>
      </c>
      <c r="BU31" s="2">
        <v>1.6981463057444044</v>
      </c>
      <c r="BV31" s="2">
        <v>-0.48119005158186356</v>
      </c>
      <c r="BW31" s="2">
        <v>0.64659838073078535</v>
      </c>
      <c r="BX31" s="2">
        <v>0.60766918725596841</v>
      </c>
      <c r="BY31" s="2">
        <v>1.6393180832312444</v>
      </c>
      <c r="BZ31" s="2">
        <v>0.93646866561203945</v>
      </c>
      <c r="CA31" s="2">
        <v>0.6322978223738065</v>
      </c>
      <c r="CB31" s="2">
        <v>1.1096789044350586</v>
      </c>
      <c r="CC31" s="2">
        <v>-0.14822506630137455</v>
      </c>
      <c r="CE31">
        <f t="shared" si="0"/>
        <v>0.77765319290077006</v>
      </c>
      <c r="CF31">
        <f t="shared" si="1"/>
        <v>0.77966895721584095</v>
      </c>
      <c r="CG31">
        <f t="shared" si="2"/>
        <v>0.99860375430763115</v>
      </c>
      <c r="CH31">
        <f t="shared" si="3"/>
        <v>0.99209584466864675</v>
      </c>
      <c r="CI31">
        <f t="shared" si="4"/>
        <v>-2.0157643150708619E-3</v>
      </c>
      <c r="CJ31">
        <f t="shared" si="5"/>
        <v>3.4463693780816371E-3</v>
      </c>
      <c r="CK31" t="s">
        <v>68</v>
      </c>
      <c r="CN31" t="s">
        <v>123</v>
      </c>
      <c r="CO31">
        <v>0.15814328492271604</v>
      </c>
      <c r="CP31">
        <v>0.42255986812991009</v>
      </c>
    </row>
    <row r="32" spans="1:94" x14ac:dyDescent="0.2">
      <c r="A32" t="s">
        <v>69</v>
      </c>
      <c r="B32" s="1">
        <v>0.29184725961999569</v>
      </c>
      <c r="C32" s="1">
        <v>0.62979214354237378</v>
      </c>
      <c r="D32" s="1">
        <v>0.3736271106465977</v>
      </c>
      <c r="E32" s="1">
        <v>0.40023763044398575</v>
      </c>
      <c r="F32" s="1">
        <v>1.8214304840043436</v>
      </c>
      <c r="G32" s="1">
        <v>1.1833753434862539</v>
      </c>
      <c r="H32" s="1">
        <v>1.3959018176744635</v>
      </c>
      <c r="I32" s="1">
        <v>0.74962614180499376</v>
      </c>
      <c r="J32" s="1">
        <v>0.90589774921302368</v>
      </c>
      <c r="K32" s="1">
        <v>1.0887365601837438</v>
      </c>
      <c r="L32" s="1">
        <v>0.15583966705942576</v>
      </c>
      <c r="M32" s="1">
        <v>0.40719460776688776</v>
      </c>
      <c r="N32" s="1">
        <v>1.6355221017987636</v>
      </c>
      <c r="O32" s="1">
        <v>1.8016155226849038</v>
      </c>
      <c r="P32" s="1">
        <v>0.73180348009456375</v>
      </c>
      <c r="Q32" s="1">
        <v>7.1558033294370493E-3</v>
      </c>
      <c r="R32" s="1">
        <v>1.1000191014866538</v>
      </c>
      <c r="S32" s="1">
        <v>0.83590898041258377</v>
      </c>
      <c r="T32" s="1">
        <v>1.3693035278825336</v>
      </c>
      <c r="U32" s="1">
        <v>1.0458990893833739</v>
      </c>
      <c r="V32" s="1">
        <v>1.0818251408732835</v>
      </c>
      <c r="W32" s="1">
        <v>0.66069716069376383</v>
      </c>
      <c r="X32" s="1">
        <v>0.57342356888567381</v>
      </c>
      <c r="Y32" s="1">
        <v>0.56265441368156377</v>
      </c>
      <c r="Z32" s="1">
        <v>0.68244805201707304</v>
      </c>
      <c r="AA32" s="1">
        <v>0.76447976149623464</v>
      </c>
      <c r="AB32" s="1">
        <v>0.62949661642176458</v>
      </c>
      <c r="AC32" s="1">
        <v>0.20754151319574382</v>
      </c>
      <c r="AD32" s="1">
        <v>0.47469326419448377</v>
      </c>
      <c r="AE32" s="1">
        <v>0.88209137228693379</v>
      </c>
      <c r="AF32" s="1">
        <v>0.74959105732546372</v>
      </c>
      <c r="AG32" s="1">
        <v>0.13024962658732275</v>
      </c>
      <c r="AH32" s="1">
        <v>0.34644395931287075</v>
      </c>
      <c r="AI32" s="1">
        <v>0.83257994054444373</v>
      </c>
      <c r="AJ32" s="1">
        <v>1.3686655871896036</v>
      </c>
      <c r="AK32" s="1">
        <v>1.4403990675132738</v>
      </c>
      <c r="AL32" s="1">
        <v>2.8501334876857252</v>
      </c>
      <c r="AM32" s="1">
        <v>0.62963802733814378</v>
      </c>
      <c r="AN32" s="1">
        <v>1.4065371669157938</v>
      </c>
      <c r="AO32" s="1">
        <v>2.1737456551422838</v>
      </c>
      <c r="AP32" s="1">
        <v>1.5183027326432534</v>
      </c>
      <c r="AQ32" s="1">
        <v>0.45845968779224366</v>
      </c>
      <c r="AR32" s="1">
        <v>0.45838522512290963</v>
      </c>
      <c r="AS32" s="1">
        <v>0.77135905399547555</v>
      </c>
      <c r="AT32" s="2">
        <v>0.42924532344672361</v>
      </c>
      <c r="AU32" s="2">
        <v>1.5762306033524038</v>
      </c>
      <c r="AV32" s="2">
        <v>0.20042312672133411</v>
      </c>
      <c r="AW32" s="2">
        <v>0.64261116013968955</v>
      </c>
      <c r="AX32" s="2">
        <v>0.73437034346590657</v>
      </c>
      <c r="AY32" s="2">
        <v>3.7441690158015239</v>
      </c>
      <c r="AZ32" s="2">
        <v>0.76352805973419868</v>
      </c>
      <c r="BA32" s="2">
        <v>2.9248196492784837</v>
      </c>
      <c r="BB32" s="2">
        <v>1.7057308670111444</v>
      </c>
      <c r="BC32" s="2">
        <v>0.30509850169767483</v>
      </c>
      <c r="BD32" s="2">
        <v>0.44528640738706138</v>
      </c>
      <c r="BE32" s="2">
        <v>-9.4807161005636631E-2</v>
      </c>
      <c r="BF32" s="2">
        <v>0.59774922584757062</v>
      </c>
      <c r="BG32" s="2">
        <v>-3.9207363626195368E-2</v>
      </c>
      <c r="BH32" s="2">
        <v>1.0682138806414996</v>
      </c>
      <c r="BI32" s="2">
        <v>0.46377453682295261</v>
      </c>
      <c r="BJ32" s="2">
        <v>1.0654841691776247</v>
      </c>
      <c r="BK32" s="2">
        <v>0.62023614544760863</v>
      </c>
      <c r="BL32" s="2">
        <v>0.30829627951993471</v>
      </c>
      <c r="BM32" s="2">
        <v>0.69185464840948563</v>
      </c>
      <c r="BN32" s="2">
        <v>0.44327090832152161</v>
      </c>
      <c r="BO32" s="2">
        <v>1.2320042607317347</v>
      </c>
      <c r="BP32" s="2">
        <v>0.14254405005291562</v>
      </c>
      <c r="BQ32" s="2">
        <v>0.40888723449958664</v>
      </c>
      <c r="BR32" s="2">
        <v>0.52035791110996032</v>
      </c>
      <c r="BS32" s="2">
        <v>0.33261599779211887</v>
      </c>
      <c r="BT32" s="2">
        <v>0.80192172284393337</v>
      </c>
      <c r="BU32" s="2">
        <v>1.0510542063231434</v>
      </c>
      <c r="BV32" s="2">
        <v>1.3216038802276344</v>
      </c>
      <c r="BW32" s="2">
        <v>1.3821030039936244</v>
      </c>
      <c r="BX32" s="2">
        <v>0.7123458915884433</v>
      </c>
      <c r="BY32" s="2">
        <v>0.38906964726317639</v>
      </c>
      <c r="BZ32" s="2">
        <v>0.7110995329366474</v>
      </c>
      <c r="CA32" s="2">
        <v>0.89714212938048843</v>
      </c>
      <c r="CB32" s="2">
        <v>-0.42610072648479158</v>
      </c>
      <c r="CC32" s="2">
        <v>0.42635316420095637</v>
      </c>
      <c r="CE32">
        <f t="shared" si="0"/>
        <v>0.89964943775850525</v>
      </c>
      <c r="CF32">
        <f t="shared" si="1"/>
        <v>0.79164945094589134</v>
      </c>
      <c r="CG32">
        <f t="shared" si="2"/>
        <v>1.0777331351923283</v>
      </c>
      <c r="CH32">
        <f t="shared" si="3"/>
        <v>0.49355168950593353</v>
      </c>
      <c r="CI32">
        <f t="shared" si="4"/>
        <v>0.10799998681261389</v>
      </c>
      <c r="CJ32">
        <f t="shared" si="5"/>
        <v>0.30666735709434867</v>
      </c>
      <c r="CK32" t="s">
        <v>69</v>
      </c>
      <c r="CN32" t="s">
        <v>114</v>
      </c>
      <c r="CO32">
        <v>-0.11951152577269852</v>
      </c>
      <c r="CP32">
        <v>0.41587042554426934</v>
      </c>
    </row>
    <row r="33" spans="1:94" x14ac:dyDescent="0.2">
      <c r="A33" t="s">
        <v>70</v>
      </c>
      <c r="B33" s="1">
        <v>1.6707281967106342</v>
      </c>
      <c r="C33" s="1">
        <v>2.1981962495269647</v>
      </c>
      <c r="D33" s="1">
        <v>1.7194545441678144</v>
      </c>
      <c r="E33" s="1">
        <v>0.97592883317543433</v>
      </c>
      <c r="F33" s="1" t="s">
        <v>67</v>
      </c>
      <c r="G33" s="1">
        <v>0.81722353099885425</v>
      </c>
      <c r="H33" s="1">
        <v>0.9105580184646842</v>
      </c>
      <c r="I33" s="1">
        <v>0.79512321559134436</v>
      </c>
      <c r="J33" s="1">
        <v>2.0355797515149545</v>
      </c>
      <c r="K33" s="1">
        <v>3.4394607053829036</v>
      </c>
      <c r="L33" s="1">
        <v>2.0791123340011444</v>
      </c>
      <c r="M33" s="1">
        <v>2.9272163650226846</v>
      </c>
      <c r="N33" s="1">
        <v>1.5710963432891842</v>
      </c>
      <c r="O33" s="1">
        <v>1.7844732929334943</v>
      </c>
      <c r="P33" s="1">
        <v>1.3654795055744742</v>
      </c>
      <c r="Q33" s="1">
        <v>-0.16135683753586394</v>
      </c>
      <c r="R33" s="1">
        <v>1.499710290365684</v>
      </c>
      <c r="S33" s="1">
        <v>0.66056566725965427</v>
      </c>
      <c r="T33" s="1">
        <v>1.0266997275917142</v>
      </c>
      <c r="U33" s="1">
        <v>2.008098557133394</v>
      </c>
      <c r="V33" s="1">
        <v>1.9737447576023042</v>
      </c>
      <c r="W33" s="1">
        <v>0.88833023177964421</v>
      </c>
      <c r="X33" s="1">
        <v>0.72052358441716424</v>
      </c>
      <c r="Y33" s="1">
        <v>0.71055552811369416</v>
      </c>
      <c r="Z33" s="1">
        <v>1.35875621395834</v>
      </c>
      <c r="AA33" s="1">
        <v>1.0175279478917498</v>
      </c>
      <c r="AB33" s="1">
        <v>0.40339628193018162</v>
      </c>
      <c r="AC33" s="1">
        <v>1.1145551776757678</v>
      </c>
      <c r="AD33" s="1">
        <v>2.5558057787270538</v>
      </c>
      <c r="AE33" s="1">
        <v>1.8949123667979644</v>
      </c>
      <c r="AF33" s="1">
        <v>0.77086919707393431</v>
      </c>
      <c r="AG33" s="1">
        <v>-0.69356271822823379</v>
      </c>
      <c r="AH33" s="1">
        <v>0.36838118866536429</v>
      </c>
      <c r="AI33" s="1">
        <v>0.48722357892524415</v>
      </c>
      <c r="AJ33" s="1">
        <v>0.95838041766346427</v>
      </c>
      <c r="AK33" s="1">
        <v>1.6781585021815444</v>
      </c>
      <c r="AL33" s="1">
        <v>3.1850782016083579</v>
      </c>
      <c r="AM33" s="1">
        <v>0.9374216657565142</v>
      </c>
      <c r="AN33" s="1">
        <v>7.0738655433157271E-2</v>
      </c>
      <c r="AO33" s="1">
        <v>0.64180110515381417</v>
      </c>
      <c r="AP33" s="1">
        <v>1.2108107859277644</v>
      </c>
      <c r="AQ33" s="1">
        <v>1.5040236722158242</v>
      </c>
      <c r="AR33" s="1">
        <v>1.0423859383683149</v>
      </c>
      <c r="AS33" s="1">
        <v>1.5707667376749099</v>
      </c>
      <c r="AT33" s="2">
        <v>-0.32662461080787319</v>
      </c>
      <c r="AU33" s="2">
        <v>4.0598303822144854E-2</v>
      </c>
      <c r="AV33" s="2">
        <v>1.5011593732544199</v>
      </c>
      <c r="AW33" s="2">
        <v>0.71189748357105476</v>
      </c>
      <c r="AX33" s="2">
        <v>-0.36042256577942611</v>
      </c>
      <c r="AY33" s="2">
        <v>-2.39896933641222</v>
      </c>
      <c r="AZ33" s="2">
        <v>1.0858505990999747</v>
      </c>
      <c r="BA33" s="2">
        <v>1.7718793929762899</v>
      </c>
      <c r="BB33" s="2">
        <v>0.53884750708844764</v>
      </c>
      <c r="BC33" s="2">
        <v>1.3620264857512399</v>
      </c>
      <c r="BD33" s="2">
        <v>0.84490575183559158</v>
      </c>
      <c r="BE33" s="2">
        <v>2.4611113972328829</v>
      </c>
      <c r="BF33" s="2">
        <v>0.73741239048039986</v>
      </c>
      <c r="BG33" s="2">
        <v>0.8820599351498688</v>
      </c>
      <c r="BH33" s="2">
        <v>0.81825161530067381</v>
      </c>
      <c r="BI33" s="2">
        <v>0.31918523702619722</v>
      </c>
      <c r="BJ33" s="2">
        <v>0.79704494623419286</v>
      </c>
      <c r="BK33" s="2">
        <v>2.48847592111946</v>
      </c>
      <c r="BL33" s="2">
        <v>0.91672764911193683</v>
      </c>
      <c r="BM33" s="2">
        <v>0.15320060948267983</v>
      </c>
      <c r="BN33" s="2">
        <v>3.52390070834119</v>
      </c>
      <c r="BO33" s="2">
        <v>-1.1453926270197101</v>
      </c>
      <c r="BP33" s="2">
        <v>0.24753674081864285</v>
      </c>
      <c r="BQ33" s="2">
        <v>4.3325354736834853E-2</v>
      </c>
      <c r="BR33" s="2">
        <v>-0.14978262169056733</v>
      </c>
      <c r="BS33" s="2">
        <v>0.41514245129370875</v>
      </c>
      <c r="BT33" s="2">
        <v>2.6565358457872126</v>
      </c>
      <c r="BU33" s="2">
        <v>1.7537106749228726</v>
      </c>
      <c r="BV33" s="2">
        <v>0.91765759059135366</v>
      </c>
      <c r="BW33" s="2">
        <v>1.1521416681903867</v>
      </c>
      <c r="BX33" s="2">
        <v>0.45979233588177115</v>
      </c>
      <c r="BY33" s="2">
        <v>0.60630221518197569</v>
      </c>
      <c r="BZ33" s="2">
        <v>1.2812339854820827</v>
      </c>
      <c r="CA33" s="2">
        <v>4.8171448027861663E-2</v>
      </c>
      <c r="CB33" s="2">
        <v>0.20897969069461167</v>
      </c>
      <c r="CC33" s="2">
        <v>1.5541314754850726</v>
      </c>
      <c r="CE33">
        <f t="shared" si="0"/>
        <v>1.2952077462437908</v>
      </c>
      <c r="CF33">
        <f t="shared" si="1"/>
        <v>0.775500139507312</v>
      </c>
      <c r="CG33">
        <f t="shared" si="2"/>
        <v>1.4336646555082302</v>
      </c>
      <c r="CH33">
        <f t="shared" si="3"/>
        <v>2.2021285115216595E-2</v>
      </c>
      <c r="CI33">
        <f t="shared" si="4"/>
        <v>0.51970760673647876</v>
      </c>
      <c r="CJ33">
        <f t="shared" si="5"/>
        <v>1.6571573401253221</v>
      </c>
      <c r="CK33" t="s">
        <v>70</v>
      </c>
      <c r="CN33" t="s">
        <v>87</v>
      </c>
      <c r="CO33">
        <v>0.18980447620802859</v>
      </c>
      <c r="CP33">
        <v>0.40466286144610264</v>
      </c>
    </row>
    <row r="34" spans="1:94" x14ac:dyDescent="0.2">
      <c r="A34" t="s">
        <v>71</v>
      </c>
      <c r="B34" s="1">
        <v>-1.353353450696511</v>
      </c>
      <c r="C34" s="1">
        <v>-1.3780861761378027</v>
      </c>
      <c r="D34" s="1">
        <v>-1.7453417373613098</v>
      </c>
      <c r="E34" s="1">
        <v>-1.5562780640298217</v>
      </c>
      <c r="F34" s="1">
        <v>-0.81760969692407814</v>
      </c>
      <c r="G34" s="1">
        <v>-0.93102337777240884</v>
      </c>
      <c r="H34" s="1">
        <v>-1.6225034075377098</v>
      </c>
      <c r="I34" s="1">
        <v>-0.83293093129619356</v>
      </c>
      <c r="J34" s="1">
        <v>-0.71645976859892291</v>
      </c>
      <c r="K34" s="1">
        <v>-5.6325648458252831E-2</v>
      </c>
      <c r="L34" s="1">
        <v>-1.5948431800273248</v>
      </c>
      <c r="M34" s="1">
        <v>-0.84648909207566569</v>
      </c>
      <c r="N34" s="1">
        <v>-1.2345729609925398</v>
      </c>
      <c r="O34" s="1">
        <v>-0.33207163288181085</v>
      </c>
      <c r="P34" s="1">
        <v>-0.21115464152533692</v>
      </c>
      <c r="Q34" s="1">
        <v>-0.80372859492683346</v>
      </c>
      <c r="R34" s="1">
        <v>-0.2410886764159379</v>
      </c>
      <c r="S34" s="1">
        <v>-0.44974078088241887</v>
      </c>
      <c r="T34" s="1">
        <v>-0.89708524318056182</v>
      </c>
      <c r="U34" s="1">
        <v>-0.7286268549875482</v>
      </c>
      <c r="V34" s="1">
        <v>-1.3608916552707138</v>
      </c>
      <c r="W34" s="1">
        <v>-0.86154647556578789</v>
      </c>
      <c r="X34" s="1">
        <v>-0.91335433398331234</v>
      </c>
      <c r="Y34" s="1">
        <v>-1.1686036072186339</v>
      </c>
      <c r="Z34" s="1">
        <v>-1.2720492984323595</v>
      </c>
      <c r="AA34" s="1">
        <v>-0.57462925806308618</v>
      </c>
      <c r="AB34" s="1">
        <v>-0.74883016185307227</v>
      </c>
      <c r="AC34" s="1">
        <v>0.21838957053838079</v>
      </c>
      <c r="AD34" s="1">
        <v>-0.68101549062480893</v>
      </c>
      <c r="AE34" s="1">
        <v>-1.1219842814364458</v>
      </c>
      <c r="AF34" s="1">
        <v>-0.28325393107226082</v>
      </c>
      <c r="AG34" s="1">
        <v>-1.1761469042933148</v>
      </c>
      <c r="AH34" s="1">
        <v>-1.5981122702563888</v>
      </c>
      <c r="AI34" s="1">
        <v>-1.5616741053684717</v>
      </c>
      <c r="AJ34" s="1">
        <v>-1.4787581814815498</v>
      </c>
      <c r="AK34" s="1">
        <v>-1.3871774880130867</v>
      </c>
      <c r="AL34" s="1">
        <v>1.7002640033321312</v>
      </c>
      <c r="AM34" s="1">
        <v>-2.0207313251797769</v>
      </c>
      <c r="AN34" s="1">
        <v>-0.76471707398186561</v>
      </c>
      <c r="AO34" s="1">
        <v>-0.70983385817056688</v>
      </c>
      <c r="AP34" s="1">
        <v>-0.92235217513220591</v>
      </c>
      <c r="AQ34" s="1">
        <v>-0.58879731010788283</v>
      </c>
      <c r="AR34" s="1">
        <v>-0.87547969790488211</v>
      </c>
      <c r="AS34" s="1">
        <v>-0.80916049784115229</v>
      </c>
      <c r="AT34" s="2">
        <v>-0.9109025169885222</v>
      </c>
      <c r="AU34" s="2">
        <v>-0.32213499379277821</v>
      </c>
      <c r="AV34" s="2">
        <v>-1.2277401840880624</v>
      </c>
      <c r="AW34" s="2">
        <v>-1.3474267921131622</v>
      </c>
      <c r="AX34" s="2">
        <v>-1.5040975602901123</v>
      </c>
      <c r="AY34" s="2">
        <v>-1.2385604751959223</v>
      </c>
      <c r="AZ34" s="2">
        <v>-1.6438760780802024</v>
      </c>
      <c r="BA34" s="2">
        <v>-0.94687765307708227</v>
      </c>
      <c r="BB34" s="2">
        <v>-1.1955208399088977</v>
      </c>
      <c r="BC34" s="2">
        <v>-1.2061121893276243</v>
      </c>
      <c r="BD34" s="2">
        <v>-2.307468352327898</v>
      </c>
      <c r="BE34" s="2">
        <v>-0.91878683396592786</v>
      </c>
      <c r="BF34" s="2">
        <v>-0.80368292268739216</v>
      </c>
      <c r="BG34" s="2">
        <v>-8.5736138585891186E-2</v>
      </c>
      <c r="BH34" s="2">
        <v>-1.3065254943420523</v>
      </c>
      <c r="BI34" s="2">
        <v>-1.6586875117534725</v>
      </c>
      <c r="BJ34" s="2">
        <v>-1.7922672621556024</v>
      </c>
      <c r="BK34" s="2">
        <v>-1.276997686254242</v>
      </c>
      <c r="BL34" s="2">
        <v>-0.97924237144317228</v>
      </c>
      <c r="BM34" s="2">
        <v>-1.3904516969100222</v>
      </c>
      <c r="BN34" s="2">
        <v>-1.112646445049132</v>
      </c>
      <c r="BO34" s="2">
        <v>-1.1816576006621622</v>
      </c>
      <c r="BP34" s="2">
        <v>-0.18674582382794425</v>
      </c>
      <c r="BQ34" s="2">
        <v>-0.72601666125726216</v>
      </c>
      <c r="BR34" s="2">
        <v>-0.43866980933309796</v>
      </c>
      <c r="BS34" s="2">
        <v>-0.39660772135766348</v>
      </c>
      <c r="BT34" s="2">
        <v>-1.0011385053820381</v>
      </c>
      <c r="BU34" s="2">
        <v>-0.48236489418710782</v>
      </c>
      <c r="BV34" s="2">
        <v>-0.13195581614833785</v>
      </c>
      <c r="BW34" s="2">
        <v>-1.4485822908924679</v>
      </c>
      <c r="BX34" s="2">
        <v>-1.4924186260501782</v>
      </c>
      <c r="BY34" s="2">
        <v>-1.8963723955735681</v>
      </c>
      <c r="BZ34" s="2">
        <v>-1.036256195874218</v>
      </c>
      <c r="CA34" s="2">
        <v>-1.2758724608260477</v>
      </c>
      <c r="CB34" s="2">
        <v>-1.4799283247802979</v>
      </c>
      <c r="CC34" s="2">
        <v>-1.4778755758695081</v>
      </c>
      <c r="CE34">
        <f t="shared" si="0"/>
        <v>-0.89340363009295709</v>
      </c>
      <c r="CF34">
        <f t="shared" si="1"/>
        <v>-1.1063390194544189</v>
      </c>
      <c r="CG34">
        <f t="shared" si="2"/>
        <v>1.1590440433232789</v>
      </c>
      <c r="CH34">
        <f t="shared" si="3"/>
        <v>9.9690556363992155E-2</v>
      </c>
      <c r="CI34">
        <f t="shared" si="4"/>
        <v>0.21293538936146195</v>
      </c>
      <c r="CJ34">
        <f t="shared" si="5"/>
        <v>1.0013459802365801</v>
      </c>
      <c r="CK34" t="s">
        <v>71</v>
      </c>
      <c r="CN34" t="s">
        <v>49</v>
      </c>
      <c r="CO34">
        <v>-0.22288849791949139</v>
      </c>
      <c r="CP34">
        <v>0.39208920795268659</v>
      </c>
    </row>
    <row r="35" spans="1:94" x14ac:dyDescent="0.2">
      <c r="A35" t="s">
        <v>72</v>
      </c>
      <c r="B35" s="1">
        <v>1.2065839491938466</v>
      </c>
      <c r="C35" s="1">
        <v>2.5210642655714164</v>
      </c>
      <c r="D35" s="1">
        <v>4.2277620819632764</v>
      </c>
      <c r="E35" s="1">
        <v>2.6852071232112267</v>
      </c>
      <c r="F35" s="1">
        <v>4.5516446116217466</v>
      </c>
      <c r="G35" s="1">
        <v>3.3572544255845265</v>
      </c>
      <c r="H35" s="1">
        <v>3.0145355061149064</v>
      </c>
      <c r="I35" s="1">
        <v>4.2574383135103266</v>
      </c>
      <c r="J35" s="1">
        <v>2.6776575648269167</v>
      </c>
      <c r="K35" s="1">
        <v>2.7070473925121066</v>
      </c>
      <c r="L35" s="1">
        <v>3.7463422277716667</v>
      </c>
      <c r="M35" s="1">
        <v>3.7853088702008764</v>
      </c>
      <c r="N35" s="1">
        <v>3.2612379074382267</v>
      </c>
      <c r="O35" s="1">
        <v>2.5348037451824967</v>
      </c>
      <c r="P35" s="1">
        <v>3.1572970320927265</v>
      </c>
      <c r="Q35" s="1">
        <v>3.200191384148062</v>
      </c>
      <c r="R35" s="1">
        <v>2.8638041092049766</v>
      </c>
      <c r="S35" s="1">
        <v>1.6031424909742666</v>
      </c>
      <c r="T35" s="1">
        <v>2.6401553294118565</v>
      </c>
      <c r="U35" s="1">
        <v>3.9958992978311469</v>
      </c>
      <c r="V35" s="1">
        <v>2.8365380336228565</v>
      </c>
      <c r="W35" s="1">
        <v>0.9299854201801665</v>
      </c>
      <c r="X35" s="1">
        <v>2.2399992872941468</v>
      </c>
      <c r="Y35" s="1">
        <v>1.1447724353407365</v>
      </c>
      <c r="Z35" s="1">
        <v>1.6158811830958597</v>
      </c>
      <c r="AA35" s="1">
        <v>-0.80708546976951323</v>
      </c>
      <c r="AB35" s="1">
        <v>3.6789950111177436</v>
      </c>
      <c r="AC35" s="1">
        <v>5.363920242493613</v>
      </c>
      <c r="AD35" s="1">
        <v>3.3904417138327965</v>
      </c>
      <c r="AE35" s="1">
        <v>3.6276216698659267</v>
      </c>
      <c r="AF35" s="1">
        <v>2.8760456230157665</v>
      </c>
      <c r="AG35" s="1">
        <v>1.6711405167335465</v>
      </c>
      <c r="AH35" s="1">
        <v>0.92459905573833356</v>
      </c>
      <c r="AI35" s="1">
        <v>1.0816840639152765</v>
      </c>
      <c r="AJ35" s="1">
        <v>2.0635872630956666</v>
      </c>
      <c r="AK35" s="1">
        <v>2.8391595789400568</v>
      </c>
      <c r="AL35" s="1">
        <v>1.5497844982823319</v>
      </c>
      <c r="AM35" s="1">
        <v>2.0300333989761565</v>
      </c>
      <c r="AN35" s="1">
        <v>2.8864403153788167</v>
      </c>
      <c r="AO35" s="1">
        <v>3.4256944920310466</v>
      </c>
      <c r="AP35" s="1">
        <v>2.0500404040796667</v>
      </c>
      <c r="AQ35" s="1">
        <v>1.2097577655908665</v>
      </c>
      <c r="AR35" s="1">
        <v>1.7682040568866539</v>
      </c>
      <c r="AS35" s="1">
        <v>1.9842922621219037</v>
      </c>
      <c r="AT35" s="2">
        <v>1.1426208905561939</v>
      </c>
      <c r="AU35" s="2">
        <v>1.6367469396890137</v>
      </c>
      <c r="AV35" s="2">
        <v>1.1614154524317837</v>
      </c>
      <c r="AW35" s="2">
        <v>3.1360680037093438</v>
      </c>
      <c r="AX35" s="2">
        <v>3.8551655307893236</v>
      </c>
      <c r="AY35" s="2">
        <v>2.5297832114832737</v>
      </c>
      <c r="AZ35" s="2">
        <v>0.74754931213336384</v>
      </c>
      <c r="BA35" s="2">
        <v>2.2043702105058238</v>
      </c>
      <c r="BB35" s="2">
        <v>1.8521903204772525</v>
      </c>
      <c r="BC35" s="2">
        <v>2.7212987839685017</v>
      </c>
      <c r="BD35" s="2">
        <v>2.3969458547762525</v>
      </c>
      <c r="BE35" s="2">
        <v>0.74199008991257864</v>
      </c>
      <c r="BF35" s="2">
        <v>1.2175913753195737</v>
      </c>
      <c r="BG35" s="2">
        <v>-0.10889023840219123</v>
      </c>
      <c r="BH35" s="2">
        <v>6.4882315817048131</v>
      </c>
      <c r="BI35" s="2">
        <v>4.2593335830627836</v>
      </c>
      <c r="BJ35" s="2">
        <v>3.1284034757875339</v>
      </c>
      <c r="BK35" s="2">
        <v>2.9107937770669237</v>
      </c>
      <c r="BL35" s="2">
        <v>0.78369751703005375</v>
      </c>
      <c r="BM35" s="2">
        <v>3.0730829967285236</v>
      </c>
      <c r="BN35" s="2">
        <v>1.6222191298775137</v>
      </c>
      <c r="BO35" s="2">
        <v>1.8219659297780439</v>
      </c>
      <c r="BP35" s="2">
        <v>3.4558186324771638</v>
      </c>
      <c r="BQ35" s="2">
        <v>4.3324091858246945</v>
      </c>
      <c r="BR35" s="2">
        <v>-0.99940716032412746</v>
      </c>
      <c r="BS35" s="2">
        <v>0.55307857798401283</v>
      </c>
      <c r="BT35" s="2">
        <v>3.0829540196521728</v>
      </c>
      <c r="BU35" s="2">
        <v>2.1221316004014028</v>
      </c>
      <c r="BV35" s="2">
        <v>2.6910685688395626</v>
      </c>
      <c r="BW35" s="2">
        <v>3.6694229642045126</v>
      </c>
      <c r="BX35" s="2">
        <v>3.0017639621239627</v>
      </c>
      <c r="BY35" s="2">
        <v>2.9022278313566825</v>
      </c>
      <c r="BZ35" s="2">
        <v>3.8765543855911728</v>
      </c>
      <c r="CA35" s="2">
        <v>0.80434670210683656</v>
      </c>
      <c r="CB35" s="2">
        <v>3.8919071247051824</v>
      </c>
      <c r="CC35" s="2">
        <v>4.2623311749494519</v>
      </c>
      <c r="CE35">
        <f t="shared" si="0"/>
        <v>2.5994525102324326</v>
      </c>
      <c r="CF35">
        <f t="shared" si="1"/>
        <v>2.4158105916188601</v>
      </c>
      <c r="CG35">
        <f t="shared" si="2"/>
        <v>1.1357473337871198</v>
      </c>
      <c r="CH35">
        <f t="shared" si="3"/>
        <v>0.54917132301100247</v>
      </c>
      <c r="CI35">
        <f t="shared" si="4"/>
        <v>0.18364191861357243</v>
      </c>
      <c r="CJ35">
        <f t="shared" si="5"/>
        <v>0.26029214911781323</v>
      </c>
      <c r="CK35" t="s">
        <v>72</v>
      </c>
      <c r="CN35" t="s">
        <v>96</v>
      </c>
      <c r="CO35">
        <v>0.18790020088236747</v>
      </c>
      <c r="CP35">
        <v>0.39015475133103833</v>
      </c>
    </row>
    <row r="36" spans="1:94" x14ac:dyDescent="0.2">
      <c r="A36" t="s">
        <v>73</v>
      </c>
      <c r="B36" s="1">
        <v>1.5469404881086872</v>
      </c>
      <c r="C36" s="1">
        <v>1.8657896534852243</v>
      </c>
      <c r="D36" s="1">
        <v>2.4035926820605242</v>
      </c>
      <c r="E36" s="1">
        <v>1.6948853024575343</v>
      </c>
      <c r="F36" s="1">
        <v>1.1008316848820252</v>
      </c>
      <c r="G36" s="1">
        <v>1.6394441268919842</v>
      </c>
      <c r="H36" s="1">
        <v>1.2827139850145113</v>
      </c>
      <c r="I36" s="1">
        <v>2.5721443831666644</v>
      </c>
      <c r="J36" s="1">
        <v>2.5025855439146945</v>
      </c>
      <c r="K36" s="1">
        <v>1.8232473163610243</v>
      </c>
      <c r="L36" s="1">
        <v>2.1736080404206044</v>
      </c>
      <c r="M36" s="1">
        <v>3.5608405530240743</v>
      </c>
      <c r="N36" s="1">
        <v>1.5677781868036043</v>
      </c>
      <c r="O36" s="1">
        <v>0.96570425828232631</v>
      </c>
      <c r="P36" s="1">
        <v>1.3952124739632064</v>
      </c>
      <c r="Q36" s="1">
        <v>0.70842914085270647</v>
      </c>
      <c r="R36" s="1">
        <v>1.7485101643767842</v>
      </c>
      <c r="S36" s="1">
        <v>0.51554191298479435</v>
      </c>
      <c r="T36" s="1">
        <v>0.51466646893549817</v>
      </c>
      <c r="U36" s="1">
        <v>1.8678232071017642</v>
      </c>
      <c r="V36" s="1">
        <v>3.2436319359804546</v>
      </c>
      <c r="W36" s="1">
        <v>1.2547641533985221</v>
      </c>
      <c r="X36" s="1">
        <v>1.5514743929254924</v>
      </c>
      <c r="Y36" s="1">
        <v>1.6082079639056042</v>
      </c>
      <c r="Z36" s="1">
        <v>0.67708772154455032</v>
      </c>
      <c r="AA36" s="1">
        <v>-0.23916655309756282</v>
      </c>
      <c r="AB36" s="1">
        <v>2.0825687548081362</v>
      </c>
      <c r="AC36" s="1">
        <v>1.1849518030874662</v>
      </c>
      <c r="AD36" s="1">
        <v>2.3856503876344846</v>
      </c>
      <c r="AE36" s="1">
        <v>1.7476598260832743</v>
      </c>
      <c r="AF36" s="1">
        <v>0.28895070288092023</v>
      </c>
      <c r="AG36" s="1">
        <v>0.14989696391779528</v>
      </c>
      <c r="AH36" s="1">
        <v>1.1215041281963403</v>
      </c>
      <c r="AI36" s="1">
        <v>1.9049530980360943</v>
      </c>
      <c r="AJ36" s="1">
        <v>1.9115992986121642</v>
      </c>
      <c r="AK36" s="1">
        <v>1.8811601475561743</v>
      </c>
      <c r="AL36" s="1">
        <v>2.2032259797399902</v>
      </c>
      <c r="AM36" s="1">
        <v>1.6865134539417943</v>
      </c>
      <c r="AN36" s="1">
        <v>0.62539942671407112</v>
      </c>
      <c r="AO36" s="1">
        <v>0.14352357836130725</v>
      </c>
      <c r="AP36" s="1">
        <v>1.0476684079505514</v>
      </c>
      <c r="AQ36" s="1">
        <v>1.8956622171057842</v>
      </c>
      <c r="AR36" s="1">
        <v>-0.13352346648622876</v>
      </c>
      <c r="AS36" s="1">
        <v>1.3779001839117662</v>
      </c>
      <c r="AT36" s="2">
        <v>-0.13509660085039574</v>
      </c>
      <c r="AU36" s="2">
        <v>-0.27770927513479665</v>
      </c>
      <c r="AV36" s="2">
        <v>1.9133215160394963</v>
      </c>
      <c r="AW36" s="2">
        <v>2.2382580531666663</v>
      </c>
      <c r="AX36" s="2">
        <v>1.7989062756756664</v>
      </c>
      <c r="AY36" s="2">
        <v>3.1130292733490963</v>
      </c>
      <c r="AZ36" s="2">
        <v>0.83808356618724633</v>
      </c>
      <c r="BA36" s="2">
        <v>1.3905077477763363</v>
      </c>
      <c r="BB36" s="2">
        <v>1.2013632262066922</v>
      </c>
      <c r="BC36" s="2">
        <v>2.0698968042154506</v>
      </c>
      <c r="BD36" s="2">
        <v>1.0045420030327923</v>
      </c>
      <c r="BE36" s="2">
        <v>-0.22575637615889971</v>
      </c>
      <c r="BF36" s="2">
        <v>1.0221362284936362</v>
      </c>
      <c r="BG36" s="2">
        <v>0.4170234578140013</v>
      </c>
      <c r="BH36" s="2">
        <v>2.8379207999945963</v>
      </c>
      <c r="BI36" s="2">
        <v>2.4186604312963564</v>
      </c>
      <c r="BJ36" s="2">
        <v>2.6287561316211763</v>
      </c>
      <c r="BK36" s="2">
        <v>1.7996831253469163</v>
      </c>
      <c r="BL36" s="2">
        <v>1.7001576175719562</v>
      </c>
      <c r="BM36" s="2">
        <v>1.8627316622316963</v>
      </c>
      <c r="BN36" s="2">
        <v>0.78523574798036622</v>
      </c>
      <c r="BO36" s="2">
        <v>0.98972071549434637</v>
      </c>
      <c r="BP36" s="2">
        <v>0.51608155644918929</v>
      </c>
      <c r="BQ36" s="2">
        <v>1.8695054028375564</v>
      </c>
      <c r="BR36" s="2">
        <v>0.64012516778093231</v>
      </c>
      <c r="BS36" s="2">
        <v>-0.10463994177856351</v>
      </c>
      <c r="BT36" s="2">
        <v>1.1675243588924622</v>
      </c>
      <c r="BU36" s="2">
        <v>1.1372062096252022</v>
      </c>
      <c r="BV36" s="2">
        <v>0.27051566425655726</v>
      </c>
      <c r="BW36" s="2">
        <v>1.7249689413693421</v>
      </c>
      <c r="BX36" s="2">
        <v>0.88890184402510219</v>
      </c>
      <c r="BY36" s="2">
        <v>1.4410611647914422</v>
      </c>
      <c r="BZ36" s="2">
        <v>2.3142919005046223</v>
      </c>
      <c r="CA36" s="2">
        <v>1.1712163930905524</v>
      </c>
      <c r="CB36" s="2">
        <v>1.3495464415276324</v>
      </c>
      <c r="CC36" s="2">
        <v>3.2140099955831825</v>
      </c>
      <c r="CE36">
        <f t="shared" si="0"/>
        <v>1.4784444109044814</v>
      </c>
      <c r="CF36">
        <f t="shared" si="1"/>
        <v>1.3608802008418222</v>
      </c>
      <c r="CG36">
        <f t="shared" si="2"/>
        <v>1.0849016098771673</v>
      </c>
      <c r="CH36">
        <f t="shared" si="3"/>
        <v>0.55251934362846966</v>
      </c>
      <c r="CI36">
        <f t="shared" si="4"/>
        <v>0.11756421006265917</v>
      </c>
      <c r="CJ36">
        <f t="shared" si="5"/>
        <v>0.25765251278484863</v>
      </c>
      <c r="CK36" t="s">
        <v>73</v>
      </c>
      <c r="CN36" t="s">
        <v>52</v>
      </c>
      <c r="CO36">
        <v>0.15127926460430127</v>
      </c>
      <c r="CP36">
        <v>0.36780906194272539</v>
      </c>
    </row>
    <row r="37" spans="1:94" x14ac:dyDescent="0.2">
      <c r="A37" t="s">
        <v>74</v>
      </c>
      <c r="B37" s="1">
        <v>-1.8819708311037298</v>
      </c>
      <c r="C37" s="1">
        <v>-1.0001429123622096</v>
      </c>
      <c r="D37" s="1">
        <v>0.25090899703339026</v>
      </c>
      <c r="E37" s="1">
        <v>-0.92488893232291969</v>
      </c>
      <c r="F37" s="1">
        <v>-0.14249181368092878</v>
      </c>
      <c r="G37" s="1">
        <v>-1.4168294732918096</v>
      </c>
      <c r="H37" s="1">
        <v>-1.2073254257053798</v>
      </c>
      <c r="I37" s="1">
        <v>-3.2757277479110725E-2</v>
      </c>
      <c r="J37" s="1">
        <v>-1.4528410080165797</v>
      </c>
      <c r="K37" s="1">
        <v>-1.4140536531470997</v>
      </c>
      <c r="L37" s="1">
        <v>-0.76039392455064969</v>
      </c>
      <c r="M37" s="1">
        <v>-0.32111642454064371</v>
      </c>
      <c r="N37" s="1">
        <v>-1.4952066521178797</v>
      </c>
      <c r="O37" s="1">
        <v>-1.2855175113815898</v>
      </c>
      <c r="P37" s="1">
        <v>-0.82029101555473982</v>
      </c>
      <c r="Q37" s="1">
        <v>-1.3389870534000352</v>
      </c>
      <c r="R37" s="1">
        <v>-1.8001441369255495</v>
      </c>
      <c r="S37" s="1">
        <v>-0.99667756755206982</v>
      </c>
      <c r="T37" s="1">
        <v>-0.95592642400897976</v>
      </c>
      <c r="U37" s="1">
        <v>-0.86622189655579973</v>
      </c>
      <c r="V37" s="1">
        <v>-0.37118283536521168</v>
      </c>
      <c r="W37" s="1">
        <v>-1.1772443297401098</v>
      </c>
      <c r="X37" s="1">
        <v>-1.2102468514750098</v>
      </c>
      <c r="Y37" s="1">
        <v>-0.87169651304151974</v>
      </c>
      <c r="Z37" s="1">
        <v>-1.2434922041953653</v>
      </c>
      <c r="AA37" s="1">
        <v>-1.9825936155229313</v>
      </c>
      <c r="AB37" s="1">
        <v>-1.9848621648127913</v>
      </c>
      <c r="AC37" s="1">
        <v>-1.8486975973197213</v>
      </c>
      <c r="AD37" s="1">
        <v>-0.25525634977330969</v>
      </c>
      <c r="AE37" s="1">
        <v>-0.55940031478149677</v>
      </c>
      <c r="AF37" s="1">
        <v>-2.0105989817200398</v>
      </c>
      <c r="AG37" s="1">
        <v>-1.5009477506965498</v>
      </c>
      <c r="AH37" s="1">
        <v>-1.2956270261262697</v>
      </c>
      <c r="AI37" s="1">
        <v>-1.2834981625239397</v>
      </c>
      <c r="AJ37" s="1">
        <v>-0.64466087107399983</v>
      </c>
      <c r="AK37" s="1">
        <v>-1.3729490403345397</v>
      </c>
      <c r="AL37" s="1">
        <v>-0.23570194318784932</v>
      </c>
      <c r="AM37" s="1">
        <v>-1.1898402776508497</v>
      </c>
      <c r="AN37" s="1">
        <v>-0.99032422305459966</v>
      </c>
      <c r="AO37" s="1">
        <v>-1.0033578332198598</v>
      </c>
      <c r="AP37" s="1">
        <v>-1.8533526301641396</v>
      </c>
      <c r="AQ37" s="1">
        <v>-1.5648373644247597</v>
      </c>
      <c r="AR37" s="1">
        <v>-2.0286474245012212</v>
      </c>
      <c r="AS37" s="1">
        <v>-0.46249415461897131</v>
      </c>
      <c r="AT37" s="2">
        <v>-1.7932545841193213</v>
      </c>
      <c r="AU37" s="2">
        <v>-0.7823472090407243</v>
      </c>
      <c r="AV37" s="2">
        <v>-1.4121906617437514</v>
      </c>
      <c r="AW37" s="2">
        <v>-0.68040857396564425</v>
      </c>
      <c r="AX37" s="2">
        <v>-0.91786637856610431</v>
      </c>
      <c r="AY37" s="2">
        <v>-2.050776647276491</v>
      </c>
      <c r="AZ37" s="2">
        <v>-1.7568910107920512</v>
      </c>
      <c r="BA37" s="2">
        <v>-2.3315159172169113</v>
      </c>
      <c r="BB37" s="2">
        <v>-1.9724849715275365</v>
      </c>
      <c r="BC37" s="2">
        <v>-0.71863029026911529</v>
      </c>
      <c r="BD37" s="2">
        <v>-1.2580873854810064</v>
      </c>
      <c r="BE37" s="2">
        <v>2.5225139850685585E-3</v>
      </c>
      <c r="BF37" s="2">
        <v>-0.80904027170876724</v>
      </c>
      <c r="BG37" s="2">
        <v>-0.68475929846275829</v>
      </c>
      <c r="BH37" s="2">
        <v>-1.1168354701569643</v>
      </c>
      <c r="BI37" s="2">
        <v>-2.1214686456200811</v>
      </c>
      <c r="BJ37" s="2">
        <v>-1.3702692367155413</v>
      </c>
      <c r="BK37" s="2">
        <v>0.12729555381193969</v>
      </c>
      <c r="BL37" s="2">
        <v>-1.1954277151401533</v>
      </c>
      <c r="BM37" s="2">
        <v>-1.5074210416062213</v>
      </c>
      <c r="BN37" s="2">
        <v>-0.53126840978248624</v>
      </c>
      <c r="BO37" s="2">
        <v>-2.9056305547278614</v>
      </c>
      <c r="BP37" s="2">
        <v>-1.3791153606822413</v>
      </c>
      <c r="BQ37" s="2">
        <v>-1.1654017655534423</v>
      </c>
      <c r="BR37" s="2">
        <v>-1.0626738289051754</v>
      </c>
      <c r="BS37" s="2">
        <v>-2.3740898833193853</v>
      </c>
      <c r="BT37" s="2">
        <v>-0.61763689736254346</v>
      </c>
      <c r="BU37" s="2">
        <v>-0.73823860725467749</v>
      </c>
      <c r="BV37" s="2">
        <v>-1.2568193830505965</v>
      </c>
      <c r="BW37" s="2">
        <v>-0.79175168020731046</v>
      </c>
      <c r="BX37" s="2">
        <v>-1.2884572003638766</v>
      </c>
      <c r="BY37" s="2">
        <v>-1.1656572789592865</v>
      </c>
      <c r="BZ37" s="2">
        <v>-0.98635432714436644</v>
      </c>
      <c r="CA37" s="2">
        <v>-0.70990947977982943</v>
      </c>
      <c r="CB37" s="2">
        <v>-0.68625434615513148</v>
      </c>
      <c r="CC37" s="2">
        <v>0.22362366440270554</v>
      </c>
      <c r="CE37">
        <f t="shared" si="0"/>
        <v>-1.1091905771815764</v>
      </c>
      <c r="CF37">
        <f t="shared" si="1"/>
        <v>-1.1607081272349347</v>
      </c>
      <c r="CG37">
        <f t="shared" si="2"/>
        <v>1.036354476987847</v>
      </c>
      <c r="CH37">
        <f t="shared" si="3"/>
        <v>0.72254776686524358</v>
      </c>
      <c r="CI37">
        <f t="shared" si="4"/>
        <v>5.1517550053358369E-2</v>
      </c>
      <c r="CJ37">
        <f t="shared" si="5"/>
        <v>0.1411334368755435</v>
      </c>
      <c r="CK37" t="s">
        <v>74</v>
      </c>
      <c r="CN37" t="s">
        <v>116</v>
      </c>
      <c r="CO37">
        <v>-0.19695758902777102</v>
      </c>
      <c r="CP37">
        <v>0.351930906516155</v>
      </c>
    </row>
    <row r="38" spans="1:94" x14ac:dyDescent="0.2">
      <c r="A38" t="s">
        <v>75</v>
      </c>
      <c r="B38" s="1">
        <v>0.28585384598274305</v>
      </c>
      <c r="C38" s="1">
        <v>-0.18212246766965234</v>
      </c>
      <c r="D38" s="1">
        <v>7.7207166488720558E-3</v>
      </c>
      <c r="E38" s="1">
        <v>-0.31400693540576796</v>
      </c>
      <c r="F38" s="1">
        <v>-1.0332107872940979</v>
      </c>
      <c r="G38" s="1">
        <v>-0.45809571123182097</v>
      </c>
      <c r="H38" s="1">
        <v>-1.1171692766837338</v>
      </c>
      <c r="I38" s="1">
        <v>-1.7343448777085841</v>
      </c>
      <c r="J38" s="1">
        <v>0.938711340306286</v>
      </c>
      <c r="K38" s="1">
        <v>1.424689780688126</v>
      </c>
      <c r="L38" s="1">
        <v>-0.72065454066995693</v>
      </c>
      <c r="M38" s="1">
        <v>-0.35496514233980198</v>
      </c>
      <c r="N38" s="1">
        <v>-1.6932775516309237</v>
      </c>
      <c r="O38" s="1">
        <v>-0.20824709399141494</v>
      </c>
      <c r="P38" s="1">
        <v>-6.1947840939153051E-2</v>
      </c>
      <c r="Q38" s="1">
        <v>-1.2929343363683747</v>
      </c>
      <c r="R38" s="1">
        <v>-0.59352896626090801</v>
      </c>
      <c r="S38" s="1">
        <v>-0.46073977133349397</v>
      </c>
      <c r="T38" s="1">
        <v>-0.85019707497378094</v>
      </c>
      <c r="U38" s="1">
        <v>-0.63018998121842895</v>
      </c>
      <c r="V38" s="1">
        <v>-9.0598932093358536E-3</v>
      </c>
      <c r="W38" s="1">
        <v>-8.4843563957379547E-2</v>
      </c>
      <c r="X38" s="1">
        <v>8.3855326579159062E-2</v>
      </c>
      <c r="Y38" s="1">
        <v>0.12878501513318705</v>
      </c>
      <c r="Z38" s="1">
        <v>-1.2313665328165129</v>
      </c>
      <c r="AA38" s="1">
        <v>-0.17576874498481326</v>
      </c>
      <c r="AB38" s="1">
        <v>-0.98638379972001422</v>
      </c>
      <c r="AC38" s="1">
        <v>1.5763948265042658</v>
      </c>
      <c r="AD38" s="1">
        <v>-0.11545998678984434</v>
      </c>
      <c r="AE38" s="1">
        <v>-9.3555990347297655E-2</v>
      </c>
      <c r="AF38" s="1">
        <v>-1.3035191636632342</v>
      </c>
      <c r="AG38" s="1">
        <v>-0.88225861243706893</v>
      </c>
      <c r="AH38" s="1">
        <v>-0.35750236235582494</v>
      </c>
      <c r="AI38" s="1">
        <v>0.12546637271797004</v>
      </c>
      <c r="AJ38" s="1">
        <v>-7.8319101333998359E-2</v>
      </c>
      <c r="AK38" s="1">
        <v>-0.28618868418897792</v>
      </c>
      <c r="AL38" s="1">
        <v>2.3156768789698114</v>
      </c>
      <c r="AM38" s="1">
        <v>0.12276032371539305</v>
      </c>
      <c r="AN38" s="1">
        <v>-0.998822094654924</v>
      </c>
      <c r="AO38" s="1">
        <v>-1.0023318579116118</v>
      </c>
      <c r="AP38" s="1">
        <v>-1.2665634544562439</v>
      </c>
      <c r="AQ38" s="1">
        <v>-1.1792375557832138</v>
      </c>
      <c r="AR38" s="1">
        <v>-0.79991805220710432</v>
      </c>
      <c r="AS38" s="1">
        <v>0.64345492869662668</v>
      </c>
      <c r="AT38" s="2">
        <v>-0.96747179563356434</v>
      </c>
      <c r="AU38" s="2">
        <v>0.52198428931740981</v>
      </c>
      <c r="AV38" s="2">
        <v>-1.2477882571682342</v>
      </c>
      <c r="AW38" s="2">
        <v>-1.3764291014415442</v>
      </c>
      <c r="AX38" s="2">
        <v>-1.0231933971306442</v>
      </c>
      <c r="AY38" s="2">
        <v>-1.0539237015108842</v>
      </c>
      <c r="AZ38" s="2">
        <v>-0.60236236668336829</v>
      </c>
      <c r="BA38" s="2">
        <v>-0.81337627447630423</v>
      </c>
      <c r="BB38" s="2">
        <v>0.74263970267570223</v>
      </c>
      <c r="BC38" s="2">
        <v>-1.3888356584475847E-2</v>
      </c>
      <c r="BD38" s="2">
        <v>-0.71258759702018171</v>
      </c>
      <c r="BE38" s="2">
        <v>0.72246822804570021</v>
      </c>
      <c r="BF38" s="2">
        <v>4.2661615620764759E-2</v>
      </c>
      <c r="BG38" s="2">
        <v>9.4256970274568752E-2</v>
      </c>
      <c r="BH38" s="2">
        <v>-1.3092301943978641</v>
      </c>
      <c r="BI38" s="2">
        <v>-2.3005266645329243</v>
      </c>
      <c r="BJ38" s="2">
        <v>-2.1943394126188442</v>
      </c>
      <c r="BK38" s="2">
        <v>1.6167138907256358</v>
      </c>
      <c r="BL38" s="2">
        <v>-0.18643251057629828</v>
      </c>
      <c r="BM38" s="2">
        <v>-1.9064828269046643</v>
      </c>
      <c r="BN38" s="2">
        <v>-0.68860309492137417</v>
      </c>
      <c r="BO38" s="2">
        <v>-1.2977567959765142</v>
      </c>
      <c r="BP38" s="2">
        <v>-0.5854992725630852</v>
      </c>
      <c r="BQ38" s="2">
        <v>-0.7060535964323742</v>
      </c>
      <c r="BR38" s="2">
        <v>-5.6125977613999449E-2</v>
      </c>
      <c r="BS38" s="2">
        <v>-1.3738770839486807</v>
      </c>
      <c r="BT38" s="2">
        <v>0.82710607589659524</v>
      </c>
      <c r="BU38" s="2">
        <v>0.96854651538473824</v>
      </c>
      <c r="BV38" s="2">
        <v>-0.55806971720513976</v>
      </c>
      <c r="BW38" s="2">
        <v>-0.42862092239729976</v>
      </c>
      <c r="BX38" s="2">
        <v>-0.55096613759411572</v>
      </c>
      <c r="BY38" s="2">
        <v>-1.5283165418043119</v>
      </c>
      <c r="BZ38" s="2">
        <v>0.19442569963168027</v>
      </c>
      <c r="CA38" s="2">
        <v>-0.86112730668392179</v>
      </c>
      <c r="CB38" s="2">
        <v>-0.76812671773632879</v>
      </c>
      <c r="CC38" s="2">
        <v>-0.41733590213157373</v>
      </c>
      <c r="CE38">
        <f t="shared" si="0"/>
        <v>-0.33871278296806479</v>
      </c>
      <c r="CF38">
        <f t="shared" si="1"/>
        <v>-0.5499363482254368</v>
      </c>
      <c r="CG38">
        <f t="shared" si="2"/>
        <v>1.1576695997718562</v>
      </c>
      <c r="CH38">
        <f t="shared" si="3"/>
        <v>0.28092695372512211</v>
      </c>
      <c r="CI38">
        <f t="shared" si="4"/>
        <v>0.21122356525737213</v>
      </c>
      <c r="CJ38">
        <f t="shared" si="5"/>
        <v>0.55140659012378213</v>
      </c>
      <c r="CK38" t="s">
        <v>75</v>
      </c>
      <c r="CN38" t="s">
        <v>69</v>
      </c>
      <c r="CO38">
        <v>0.10799998681261389</v>
      </c>
      <c r="CP38">
        <v>0.30666735709434867</v>
      </c>
    </row>
    <row r="39" spans="1:94" x14ac:dyDescent="0.2">
      <c r="A39" t="s">
        <v>76</v>
      </c>
      <c r="B39" s="1">
        <v>-1.7323258258376213</v>
      </c>
      <c r="C39" s="1">
        <v>-1.1315893722441153</v>
      </c>
      <c r="D39" s="1">
        <v>1.4456821177383568</v>
      </c>
      <c r="E39" s="1">
        <v>2.7809437061839271</v>
      </c>
      <c r="F39" s="1">
        <v>-0.83427693546680348</v>
      </c>
      <c r="G39" s="1">
        <v>0.25795040139423664</v>
      </c>
      <c r="H39" s="1">
        <v>1.6999340912661969</v>
      </c>
      <c r="I39" s="1">
        <v>4.2198460422261661</v>
      </c>
      <c r="J39" s="1">
        <v>-2.5875106585687733</v>
      </c>
      <c r="K39" s="1">
        <v>-2.267828090473043</v>
      </c>
      <c r="L39" s="1">
        <v>3.1841381119289567</v>
      </c>
      <c r="M39" s="1">
        <v>4.3519259915756967</v>
      </c>
      <c r="N39" s="1">
        <v>1.1018255438261468</v>
      </c>
      <c r="O39" s="1">
        <v>-0.91082704584055296</v>
      </c>
      <c r="P39" s="1">
        <v>0.34832675456622675</v>
      </c>
      <c r="Q39" s="1">
        <v>3.4284645813220402</v>
      </c>
      <c r="R39" s="1">
        <v>2.0754550825758864</v>
      </c>
      <c r="S39" s="1">
        <v>3.8892130694901761</v>
      </c>
      <c r="T39" s="1">
        <v>-1.4092324573162613</v>
      </c>
      <c r="U39" s="1">
        <v>-0.56915590615050937</v>
      </c>
      <c r="V39" s="1">
        <v>-0.49493216034330334</v>
      </c>
      <c r="W39" s="1">
        <v>-0.69495701971917334</v>
      </c>
      <c r="X39" s="1">
        <v>-0.3408779673030613</v>
      </c>
      <c r="Y39" s="1">
        <v>-0.66614032765391529</v>
      </c>
      <c r="Z39" s="1">
        <v>1.8843275990346502</v>
      </c>
      <c r="AA39" s="1">
        <v>2.9289552562729737</v>
      </c>
      <c r="AB39" s="1">
        <v>3.4087199663053838</v>
      </c>
      <c r="AC39" s="1">
        <v>0.91876407604326948</v>
      </c>
      <c r="AD39" s="1">
        <v>4.8029145167351563</v>
      </c>
      <c r="AE39" s="1">
        <v>3.9037201030667861</v>
      </c>
      <c r="AF39" s="1">
        <v>3.9039367533018563</v>
      </c>
      <c r="AG39" s="1">
        <v>1.3536960244189966</v>
      </c>
      <c r="AH39" s="1">
        <v>-2.1466779630888633</v>
      </c>
      <c r="AI39" s="1">
        <v>-5.7536091936231326E-2</v>
      </c>
      <c r="AJ39" s="1">
        <v>-0.54126315055617535</v>
      </c>
      <c r="AK39" s="1">
        <v>-0.19642293466193439</v>
      </c>
      <c r="AL39" s="1">
        <v>3.56984624615612</v>
      </c>
      <c r="AM39" s="1">
        <v>0.55225692077462663</v>
      </c>
      <c r="AN39" s="1">
        <v>4.8025830013458961</v>
      </c>
      <c r="AO39" s="1">
        <v>4.0704776389165565</v>
      </c>
      <c r="AP39" s="1">
        <v>4.0533571097664263</v>
      </c>
      <c r="AQ39" s="1">
        <v>5.8686058461731765</v>
      </c>
      <c r="AR39" s="1">
        <v>1.7614827248219636</v>
      </c>
      <c r="AS39" s="1">
        <v>3.478155170607323</v>
      </c>
      <c r="AT39" s="2">
        <v>5.5225369602054233</v>
      </c>
      <c r="AU39" s="2">
        <v>3.792026579021023</v>
      </c>
      <c r="AV39" s="2">
        <v>-1.0565347796679665</v>
      </c>
      <c r="AW39" s="2">
        <v>-1.0139352516507465</v>
      </c>
      <c r="AX39" s="2">
        <v>-0.35361390882402643</v>
      </c>
      <c r="AY39" s="2">
        <v>-0.38023861139909654</v>
      </c>
      <c r="AZ39" s="2">
        <v>-0.50278430148179654</v>
      </c>
      <c r="BA39" s="2">
        <v>0.82922263945448371</v>
      </c>
      <c r="BB39" s="2">
        <v>0.70635279791842676</v>
      </c>
      <c r="BC39" s="2">
        <v>2.3083458638457</v>
      </c>
      <c r="BD39" s="2">
        <v>-0.16806549438045532</v>
      </c>
      <c r="BE39" s="2">
        <v>0.50525977101758368</v>
      </c>
      <c r="BF39" s="2">
        <v>-0.12830852965977257</v>
      </c>
      <c r="BG39" s="2">
        <v>0.76427478021033635</v>
      </c>
      <c r="BH39" s="2">
        <v>4.1805958165035335</v>
      </c>
      <c r="BI39" s="2">
        <v>2.3626709200624232</v>
      </c>
      <c r="BJ39" s="2">
        <v>-0.6016196323708165</v>
      </c>
      <c r="BK39" s="2">
        <v>1.8254035290344734</v>
      </c>
      <c r="BL39" s="2">
        <v>-0.1381267641360735</v>
      </c>
      <c r="BM39" s="2">
        <v>4.8942520323251433</v>
      </c>
      <c r="BN39" s="2">
        <v>0.71945504926525405</v>
      </c>
      <c r="BO39" s="2">
        <v>2.4100854357076735</v>
      </c>
      <c r="BP39" s="2">
        <v>1.4729702838475005</v>
      </c>
      <c r="BQ39" s="2">
        <v>0.26473877669691248</v>
      </c>
      <c r="BR39" s="2">
        <v>1.7927760254738128</v>
      </c>
      <c r="BS39" s="2">
        <v>-0.59688643431791888</v>
      </c>
      <c r="BT39" s="2">
        <v>-1.0687672826404975</v>
      </c>
      <c r="BU39" s="2">
        <v>-0.84771279429669721</v>
      </c>
      <c r="BV39" s="2">
        <v>3.1958753927914527</v>
      </c>
      <c r="BW39" s="2">
        <v>0.98090191102470869</v>
      </c>
      <c r="BX39" s="2">
        <v>-5.8450872484508309E-2</v>
      </c>
      <c r="BY39" s="2">
        <v>-0.51089140290261137</v>
      </c>
      <c r="BZ39" s="2">
        <v>1.2569894001572628</v>
      </c>
      <c r="CA39" s="2">
        <v>0.27562018114692011</v>
      </c>
      <c r="CB39" s="2">
        <v>2.0867508844857428</v>
      </c>
      <c r="CC39" s="2">
        <v>0.94893211291508273</v>
      </c>
      <c r="CE39">
        <f t="shared" si="0"/>
        <v>1.4423625122880646</v>
      </c>
      <c r="CF39">
        <f t="shared" si="1"/>
        <v>0.99083614119160812</v>
      </c>
      <c r="CG39">
        <f t="shared" si="2"/>
        <v>1.36748629192047</v>
      </c>
      <c r="CH39">
        <f t="shared" si="3"/>
        <v>0.316659604078801</v>
      </c>
      <c r="CI39">
        <f t="shared" si="4"/>
        <v>0.45152637109645655</v>
      </c>
      <c r="CJ39">
        <f t="shared" si="5"/>
        <v>0.49940733556916012</v>
      </c>
      <c r="CK39" t="s">
        <v>76</v>
      </c>
      <c r="CN39" t="s">
        <v>89</v>
      </c>
      <c r="CO39">
        <v>-0.11892029194728146</v>
      </c>
      <c r="CP39">
        <v>0.29475639144446802</v>
      </c>
    </row>
    <row r="40" spans="1:94" x14ac:dyDescent="0.2">
      <c r="A40" t="s">
        <v>77</v>
      </c>
      <c r="B40" s="1">
        <v>-1.744217382016731</v>
      </c>
      <c r="C40" s="1">
        <v>-0.66375026403499782</v>
      </c>
      <c r="D40" s="1">
        <v>-0.27898371676450084</v>
      </c>
      <c r="E40" s="1">
        <v>-0.18631379620903382</v>
      </c>
      <c r="F40" s="1">
        <v>-0.94833003273359584</v>
      </c>
      <c r="G40" s="1">
        <v>-1.3016733342994709</v>
      </c>
      <c r="H40" s="1">
        <v>-2.8714693331886143E-2</v>
      </c>
      <c r="I40" s="1">
        <v>-4.5616990582042438E-2</v>
      </c>
      <c r="J40" s="1">
        <v>-0.61958316050736983</v>
      </c>
      <c r="K40" s="1">
        <v>-0.74580538764092086</v>
      </c>
      <c r="L40" s="1">
        <v>-0.16957031373537323</v>
      </c>
      <c r="M40" s="1">
        <v>-0.34785427463808782</v>
      </c>
      <c r="N40" s="1">
        <v>-1.362189677763201</v>
      </c>
      <c r="O40" s="1">
        <v>0.10003955059146516</v>
      </c>
      <c r="P40" s="1">
        <v>0.44229015368372415</v>
      </c>
      <c r="Q40" s="1">
        <v>-0.33031535611001039</v>
      </c>
      <c r="R40" s="1">
        <v>0.46519027423699011</v>
      </c>
      <c r="S40" s="1">
        <v>-0.19487649794689083</v>
      </c>
      <c r="T40" s="1">
        <v>-1.1691967995328709</v>
      </c>
      <c r="U40" s="1">
        <v>-0.67817742723379182</v>
      </c>
      <c r="V40" s="1">
        <v>-0.22162999169795583</v>
      </c>
      <c r="W40" s="1">
        <v>-0.46533090060523385</v>
      </c>
      <c r="X40" s="1">
        <v>-1.0108493000814009</v>
      </c>
      <c r="Y40" s="1">
        <v>-0.5386368524611389</v>
      </c>
      <c r="Z40" s="1">
        <v>-0.92468685426706632</v>
      </c>
      <c r="AA40" s="1">
        <v>5.2848996199553744E-3</v>
      </c>
      <c r="AB40" s="1">
        <v>-0.21394087491050365</v>
      </c>
      <c r="AC40" s="1">
        <v>-0.28032172382190268</v>
      </c>
      <c r="AD40" s="1">
        <v>-1.0293644742042278</v>
      </c>
      <c r="AE40" s="1">
        <v>-0.46131481746632785</v>
      </c>
      <c r="AF40" s="1">
        <v>-0.67155732744481988</v>
      </c>
      <c r="AG40" s="1">
        <v>-0.97581611774607879</v>
      </c>
      <c r="AH40" s="1">
        <v>-1.6257222581967108</v>
      </c>
      <c r="AI40" s="1">
        <v>-0.76439285344963281</v>
      </c>
      <c r="AJ40" s="1">
        <v>-0.21389043900689783</v>
      </c>
      <c r="AK40" s="1">
        <v>-0.71520996197900788</v>
      </c>
      <c r="AL40" s="1">
        <v>-1.8753925582121065</v>
      </c>
      <c r="AM40" s="1">
        <v>-0.99519549608386282</v>
      </c>
      <c r="AN40" s="1">
        <v>-0.77786606498997279</v>
      </c>
      <c r="AO40" s="1">
        <v>-0.45763457599472185</v>
      </c>
      <c r="AP40" s="1">
        <v>-1.0996181123194306</v>
      </c>
      <c r="AQ40" s="1">
        <v>-1.2384196145682207</v>
      </c>
      <c r="AR40" s="1">
        <v>-1.2512555475817257</v>
      </c>
      <c r="AS40" s="1">
        <v>-1.3229492921141808</v>
      </c>
      <c r="AT40" s="2">
        <v>-0.31500637370183665</v>
      </c>
      <c r="AU40" s="2">
        <v>-0.6087848571735277</v>
      </c>
      <c r="AV40" s="2">
        <v>0.53824457216478638</v>
      </c>
      <c r="AW40" s="2">
        <v>5.7077413470683347E-2</v>
      </c>
      <c r="AX40" s="2">
        <v>-0.76539834965059872</v>
      </c>
      <c r="AY40" s="2">
        <v>-0.74817044507864172</v>
      </c>
      <c r="AZ40" s="2">
        <v>-1.0151415553336638</v>
      </c>
      <c r="BA40" s="2">
        <v>-0.8898623616792356</v>
      </c>
      <c r="BB40" s="2">
        <v>-1.2280679418472054</v>
      </c>
      <c r="BC40" s="2">
        <v>-0.39975731848254648</v>
      </c>
      <c r="BD40" s="2">
        <v>-1.5340886307718753</v>
      </c>
      <c r="BE40" s="2">
        <v>-1.0740970682657154</v>
      </c>
      <c r="BF40" s="2">
        <v>-0.55797450552305061</v>
      </c>
      <c r="BG40" s="2">
        <v>-1.1170117742944137</v>
      </c>
      <c r="BH40" s="2">
        <v>-0.55968316859472567</v>
      </c>
      <c r="BI40" s="2">
        <v>-1.1178200152985358</v>
      </c>
      <c r="BJ40" s="2">
        <v>-1.0183127162935137</v>
      </c>
      <c r="BK40" s="2">
        <v>-0.50794140967623169</v>
      </c>
      <c r="BL40" s="2">
        <v>-0.17388392194490165</v>
      </c>
      <c r="BM40" s="2">
        <v>-0.6881326491058537</v>
      </c>
      <c r="BN40" s="2">
        <v>-0.51724995408669971</v>
      </c>
      <c r="BO40" s="2">
        <v>-1.0510846008624317</v>
      </c>
      <c r="BP40" s="2">
        <v>-7.6406863815651649E-2</v>
      </c>
      <c r="BQ40" s="2">
        <v>-0.49108997504432483</v>
      </c>
      <c r="BR40" s="2">
        <v>-0.41544040059814746</v>
      </c>
      <c r="BS40" s="2">
        <v>-0.55822300684248649</v>
      </c>
      <c r="BT40" s="2">
        <v>-0.6530555729387385</v>
      </c>
      <c r="BU40" s="2">
        <v>-1.0914709338760455</v>
      </c>
      <c r="BV40" s="2">
        <v>-0.53545691526019146</v>
      </c>
      <c r="BW40" s="2">
        <v>-0.65824434444729851</v>
      </c>
      <c r="BX40" s="2">
        <v>-1.1585971222225253</v>
      </c>
      <c r="BY40" s="2">
        <v>-1.3212006107941354</v>
      </c>
      <c r="BZ40" s="2">
        <v>-0.72801974340388542</v>
      </c>
      <c r="CA40" s="2">
        <v>-1.0005707567444655</v>
      </c>
      <c r="CB40" s="2">
        <v>-1.2568410496889655</v>
      </c>
      <c r="CC40" s="2">
        <v>-1.0103594342744255</v>
      </c>
      <c r="CE40">
        <f t="shared" si="0"/>
        <v>-0.65757636900344907</v>
      </c>
      <c r="CF40">
        <f t="shared" si="1"/>
        <v>-0.729086787832806</v>
      </c>
      <c r="CG40">
        <f t="shared" si="2"/>
        <v>1.050816252179902</v>
      </c>
      <c r="CH40">
        <f t="shared" si="3"/>
        <v>0.51337481821732933</v>
      </c>
      <c r="CI40">
        <f t="shared" si="4"/>
        <v>7.1510418829356936E-2</v>
      </c>
      <c r="CJ40">
        <f t="shared" si="5"/>
        <v>0.28956543791910389</v>
      </c>
      <c r="CK40" t="s">
        <v>77</v>
      </c>
      <c r="CN40" t="s">
        <v>77</v>
      </c>
      <c r="CO40">
        <v>7.1510418829356936E-2</v>
      </c>
      <c r="CP40">
        <v>0.28956543791910389</v>
      </c>
    </row>
    <row r="41" spans="1:94" x14ac:dyDescent="0.2">
      <c r="A41" t="s">
        <v>78</v>
      </c>
      <c r="B41" s="1">
        <v>-1.8695196137008647</v>
      </c>
      <c r="C41" s="1">
        <v>-1.2337305396169849</v>
      </c>
      <c r="D41" s="1">
        <v>-0.47130135973541376</v>
      </c>
      <c r="E41" s="1">
        <v>-1.0956793462441645</v>
      </c>
      <c r="F41" s="1">
        <v>-1.3343130727048949</v>
      </c>
      <c r="G41" s="1">
        <v>-1.1588276568040548</v>
      </c>
      <c r="H41" s="1">
        <v>-0.56481849605619872</v>
      </c>
      <c r="I41" s="1">
        <v>-0.69472290562510275</v>
      </c>
      <c r="J41" s="1">
        <v>-1.1706796920656148</v>
      </c>
      <c r="K41" s="1">
        <v>-0.8493839077633617</v>
      </c>
      <c r="L41" s="1">
        <v>-0.63276920389058278</v>
      </c>
      <c r="M41" s="1">
        <v>-0.11142376623209771</v>
      </c>
      <c r="N41" s="1">
        <v>-1.4435342308197345</v>
      </c>
      <c r="O41" s="1">
        <v>-0.53715272667796576</v>
      </c>
      <c r="P41" s="1">
        <v>-0.68488322363242471</v>
      </c>
      <c r="Q41" s="1">
        <v>-0.3237932834303342</v>
      </c>
      <c r="R41" s="1">
        <v>-0.84246907221693168</v>
      </c>
      <c r="S41" s="1">
        <v>-0.1551152697820487</v>
      </c>
      <c r="T41" s="1">
        <v>-0.8489564560697187</v>
      </c>
      <c r="U41" s="1">
        <v>-0.3401413224578787</v>
      </c>
      <c r="V41" s="1">
        <v>-0.3274195378103687</v>
      </c>
      <c r="W41" s="1">
        <v>-0.87466257806048875</v>
      </c>
      <c r="X41" s="1">
        <v>-0.42585851971893374</v>
      </c>
      <c r="Y41" s="1">
        <v>-0.42118142780546874</v>
      </c>
      <c r="Z41" s="1">
        <v>-1.4254999606944492</v>
      </c>
      <c r="AA41" s="1">
        <v>2.5470690044479358</v>
      </c>
      <c r="AB41" s="1">
        <v>-0.22723641723103771</v>
      </c>
      <c r="AC41" s="1">
        <v>-1.1851750736938391</v>
      </c>
      <c r="AD41" s="1">
        <v>-0.52127245372879971</v>
      </c>
      <c r="AE41" s="1">
        <v>-0.24257299841839775</v>
      </c>
      <c r="AF41" s="1">
        <v>-0.84150827112404269</v>
      </c>
      <c r="AG41" s="1">
        <v>-0.67203252519574674</v>
      </c>
      <c r="AH41" s="1">
        <v>-0.81259154847228776</v>
      </c>
      <c r="AI41" s="1">
        <v>-0.80717727445515375</v>
      </c>
      <c r="AJ41" s="1">
        <v>-0.48314620692641774</v>
      </c>
      <c r="AK41" s="1">
        <v>-0.63841542898748971</v>
      </c>
      <c r="AL41" s="1">
        <v>-1.0074226561345592</v>
      </c>
      <c r="AM41" s="1">
        <v>-0.75680652116361569</v>
      </c>
      <c r="AN41" s="1">
        <v>-0.52222310896221968</v>
      </c>
      <c r="AO41" s="1">
        <v>-0.56268336405733577</v>
      </c>
      <c r="AP41" s="1">
        <v>-0.9602278470397948</v>
      </c>
      <c r="AQ41" s="1">
        <v>-0.79933617303901572</v>
      </c>
      <c r="AR41" s="1">
        <v>-1.667106210400404</v>
      </c>
      <c r="AS41" s="1">
        <v>-1.5660023692262139</v>
      </c>
      <c r="AT41" s="2">
        <v>-0.49668140373422903</v>
      </c>
      <c r="AU41" s="2">
        <v>-0.69554120970789302</v>
      </c>
      <c r="AV41" s="2">
        <v>-8.1299650259889028E-2</v>
      </c>
      <c r="AW41" s="2">
        <v>-0.91992636859812904</v>
      </c>
      <c r="AX41" s="2">
        <v>0.64016307844262199</v>
      </c>
      <c r="AY41" s="2">
        <v>-1.167141342102628</v>
      </c>
      <c r="AZ41" s="2">
        <v>-1.069611279772156</v>
      </c>
      <c r="BA41" s="2">
        <v>-1.120295555483767</v>
      </c>
      <c r="BB41" s="2">
        <v>-1.7850153121213599</v>
      </c>
      <c r="BC41" s="2">
        <v>-0.3563616699015193</v>
      </c>
      <c r="BD41" s="2">
        <v>-0.58733723032492191</v>
      </c>
      <c r="BE41" s="2">
        <v>-1.1725408145212499</v>
      </c>
      <c r="BF41" s="2">
        <v>-1.0576478224962469</v>
      </c>
      <c r="BG41" s="2">
        <v>-1.103724242539611</v>
      </c>
      <c r="BH41" s="2">
        <v>-0.64417339937935603</v>
      </c>
      <c r="BI41" s="2">
        <v>-0.681857891964046</v>
      </c>
      <c r="BJ41" s="2">
        <v>0.26575806286242498</v>
      </c>
      <c r="BK41" s="2">
        <v>4.804122119604598E-2</v>
      </c>
      <c r="BL41" s="2">
        <v>-0.47753126183823502</v>
      </c>
      <c r="BM41" s="2">
        <v>-0.29553319191068322</v>
      </c>
      <c r="BN41" s="2">
        <v>-1.084197406285667</v>
      </c>
      <c r="BO41" s="2">
        <v>-1.4679097528945539</v>
      </c>
      <c r="BP41" s="2">
        <v>-0.63718293378923296</v>
      </c>
      <c r="BQ41" s="2">
        <v>-3.3080869502317034E-2</v>
      </c>
      <c r="BR41" s="2">
        <v>-0.45220535942504697</v>
      </c>
      <c r="BS41" s="2">
        <v>-1.3159527892034892</v>
      </c>
      <c r="BT41" s="2">
        <v>-0.46588390634820492</v>
      </c>
      <c r="BU41" s="2">
        <v>-0.49935585586952297</v>
      </c>
      <c r="BV41" s="2">
        <v>-1.0211416690694941</v>
      </c>
      <c r="BW41" s="2">
        <v>-0.90593049542117499</v>
      </c>
      <c r="BX41" s="2">
        <v>-0.950025161135719</v>
      </c>
      <c r="BY41" s="2">
        <v>-2.1635139022349601</v>
      </c>
      <c r="BZ41" s="2">
        <v>-0.67985625565129393</v>
      </c>
      <c r="CA41" s="2">
        <v>-0.50466133359930798</v>
      </c>
      <c r="CB41" s="2">
        <v>-0.33584122027875696</v>
      </c>
      <c r="CC41" s="2">
        <v>0.23439702708961907</v>
      </c>
      <c r="CE41">
        <f t="shared" si="0"/>
        <v>-0.71735692303237519</v>
      </c>
      <c r="CF41">
        <f t="shared" si="1"/>
        <v>-0.69557219910483203</v>
      </c>
      <c r="CG41">
        <f t="shared" si="2"/>
        <v>0.98501341366412132</v>
      </c>
      <c r="CH41">
        <f t="shared" si="3"/>
        <v>0.87414231568150214</v>
      </c>
      <c r="CI41">
        <f t="shared" si="4"/>
        <v>-2.1784723927543118E-2</v>
      </c>
      <c r="CJ41">
        <f t="shared" si="5"/>
        <v>5.8417855828273267E-2</v>
      </c>
      <c r="CK41" t="s">
        <v>78</v>
      </c>
      <c r="CN41" t="s">
        <v>56</v>
      </c>
      <c r="CO41">
        <v>0.14973723565489414</v>
      </c>
      <c r="CP41">
        <v>0.28763319938619669</v>
      </c>
    </row>
    <row r="42" spans="1:94" x14ac:dyDescent="0.2">
      <c r="A42" t="s">
        <v>79</v>
      </c>
      <c r="B42" s="1">
        <v>3.2696907379061417</v>
      </c>
      <c r="C42" s="1">
        <v>1.9813015629779518</v>
      </c>
      <c r="D42" s="1">
        <v>3.8814219297952119</v>
      </c>
      <c r="E42" s="1">
        <v>2.3423401573765616</v>
      </c>
      <c r="F42" s="1">
        <v>1.3179302827564587</v>
      </c>
      <c r="G42" s="1">
        <v>2.346219521171232</v>
      </c>
      <c r="H42" s="1">
        <v>1.6374551556853989</v>
      </c>
      <c r="I42" s="1">
        <v>2.0382216629533718</v>
      </c>
      <c r="J42" s="1">
        <v>2.4530360193504719</v>
      </c>
      <c r="K42" s="1">
        <v>2.9866560624496219</v>
      </c>
      <c r="L42" s="1">
        <v>2.5090680860442318</v>
      </c>
      <c r="M42" s="1">
        <v>4.2380292338143519</v>
      </c>
      <c r="N42" s="1">
        <v>1.1875719524657979</v>
      </c>
      <c r="O42" s="1">
        <v>1.6906111973012119</v>
      </c>
      <c r="P42" s="1">
        <v>1.8222828331741419</v>
      </c>
      <c r="Q42" s="1">
        <v>1.9491347770666327</v>
      </c>
      <c r="R42" s="1">
        <v>3.051948016494352</v>
      </c>
      <c r="S42" s="1">
        <v>2.9485691221492418</v>
      </c>
      <c r="T42" s="1">
        <v>1.4434570846810257</v>
      </c>
      <c r="U42" s="1">
        <v>2.2135113397841817</v>
      </c>
      <c r="V42" s="1">
        <v>1.801194989304312</v>
      </c>
      <c r="W42" s="1">
        <v>1.4960712502587508</v>
      </c>
      <c r="X42" s="1">
        <v>1.562477551625125</v>
      </c>
      <c r="Y42" s="1">
        <v>1.8803474418255219</v>
      </c>
      <c r="Z42" s="1">
        <v>1.4079623143322908</v>
      </c>
      <c r="AA42" s="1">
        <v>1.8778257411660202</v>
      </c>
      <c r="AB42" s="1">
        <v>2.3608590836233403</v>
      </c>
      <c r="AC42" s="1">
        <v>1.9430416868207305</v>
      </c>
      <c r="AD42" s="1">
        <v>1.0118998730991628</v>
      </c>
      <c r="AE42" s="1">
        <v>1.011325921003319</v>
      </c>
      <c r="AF42" s="1">
        <v>0.94444130432184292</v>
      </c>
      <c r="AG42" s="1">
        <v>1.357507066162623</v>
      </c>
      <c r="AH42" s="1">
        <v>1.7565789824678419</v>
      </c>
      <c r="AI42" s="1">
        <v>1.3301466267824549</v>
      </c>
      <c r="AJ42" s="1">
        <v>1.150088595248894</v>
      </c>
      <c r="AK42" s="1">
        <v>1.1595869553052449</v>
      </c>
      <c r="AL42" s="1">
        <v>1.9181562601720128</v>
      </c>
      <c r="AM42" s="1">
        <v>2.094099404646252</v>
      </c>
      <c r="AN42" s="1">
        <v>1.6668917191384609</v>
      </c>
      <c r="AO42" s="1">
        <v>1.9336147711730318</v>
      </c>
      <c r="AP42" s="1">
        <v>1.693849127657034</v>
      </c>
      <c r="AQ42" s="1">
        <v>1.344636980628104</v>
      </c>
      <c r="AR42" s="1">
        <v>1.0557984577951103</v>
      </c>
      <c r="AS42" s="1">
        <v>2.0325108737118103</v>
      </c>
      <c r="AT42" s="2">
        <v>0.41120877890904639</v>
      </c>
      <c r="AU42" s="2">
        <v>0.29799688625485832</v>
      </c>
      <c r="AV42" s="2">
        <v>2.6708094046987805</v>
      </c>
      <c r="AW42" s="2">
        <v>2.3509535124344803</v>
      </c>
      <c r="AX42" s="2">
        <v>3.1960320584378903</v>
      </c>
      <c r="AY42" s="2">
        <v>2.3319690139050202</v>
      </c>
      <c r="AZ42" s="2">
        <v>1.2346713043303004</v>
      </c>
      <c r="BA42" s="2">
        <v>1.1246574105688603</v>
      </c>
      <c r="BB42" s="2">
        <v>1.6045808248596032</v>
      </c>
      <c r="BC42" s="2">
        <v>2.3332748832146226</v>
      </c>
      <c r="BD42" s="2">
        <v>1.5573360357477632</v>
      </c>
      <c r="BE42" s="2">
        <v>0.15558565471456631</v>
      </c>
      <c r="BF42" s="2">
        <v>1.2252566015310604</v>
      </c>
      <c r="BG42" s="2">
        <v>0.86539636515137031</v>
      </c>
      <c r="BH42" s="2">
        <v>2.9565165325668104</v>
      </c>
      <c r="BI42" s="2">
        <v>2.8840133614669803</v>
      </c>
      <c r="BJ42" s="2">
        <v>4.3558793867519601</v>
      </c>
      <c r="BK42" s="2">
        <v>2.5136676649785605</v>
      </c>
      <c r="BL42" s="2">
        <v>2.3560848923459203</v>
      </c>
      <c r="BM42" s="2">
        <v>2.0091605262599002</v>
      </c>
      <c r="BN42" s="2">
        <v>1.5081963339840603</v>
      </c>
      <c r="BO42" s="2">
        <v>0.27932839323579739</v>
      </c>
      <c r="BP42" s="2">
        <v>1.1189424093177003</v>
      </c>
      <c r="BQ42" s="2">
        <v>2.4329790942052303</v>
      </c>
      <c r="BR42" s="2">
        <v>1.6291556246468533</v>
      </c>
      <c r="BS42" s="2">
        <v>0.64850644635779386</v>
      </c>
      <c r="BT42" s="2">
        <v>1.7056376729744933</v>
      </c>
      <c r="BU42" s="2">
        <v>1.6310375435141635</v>
      </c>
      <c r="BV42" s="2">
        <v>1.2332346667489533</v>
      </c>
      <c r="BW42" s="2">
        <v>1.9551995010313132</v>
      </c>
      <c r="BX42" s="2">
        <v>1.2939504541076332</v>
      </c>
      <c r="BY42" s="2">
        <v>2.0296149352918533</v>
      </c>
      <c r="BZ42" s="2">
        <v>2.2654266918846533</v>
      </c>
      <c r="CA42" s="2">
        <v>1.4300961086088932</v>
      </c>
      <c r="CB42" s="2">
        <v>2.5383324075629132</v>
      </c>
      <c r="CC42" s="2">
        <v>3.5113617880617132</v>
      </c>
      <c r="CE42">
        <f t="shared" si="0"/>
        <v>1.93407658440152</v>
      </c>
      <c r="CF42">
        <f t="shared" si="1"/>
        <v>1.8235014214072882</v>
      </c>
      <c r="CG42">
        <f t="shared" si="2"/>
        <v>1.0796585810174859</v>
      </c>
      <c r="CH42">
        <f t="shared" si="3"/>
        <v>0.56943743075351616</v>
      </c>
      <c r="CI42">
        <f t="shared" si="4"/>
        <v>0.11057516299423188</v>
      </c>
      <c r="CJ42">
        <f t="shared" si="5"/>
        <v>0.24455398883040877</v>
      </c>
      <c r="CK42" t="s">
        <v>79</v>
      </c>
      <c r="CN42" t="s">
        <v>117</v>
      </c>
      <c r="CO42">
        <v>-0.14108986778820273</v>
      </c>
      <c r="CP42">
        <v>0.26521861838574523</v>
      </c>
    </row>
    <row r="43" spans="1:94" x14ac:dyDescent="0.2">
      <c r="A43" t="s">
        <v>80</v>
      </c>
      <c r="B43" s="1">
        <v>-0.73728543191381357</v>
      </c>
      <c r="C43" s="1">
        <v>0.20362375300570842</v>
      </c>
      <c r="D43" s="1">
        <v>2.3864789794879977</v>
      </c>
      <c r="E43" s="1">
        <v>4.157967685045497</v>
      </c>
      <c r="F43" s="1">
        <v>5.4610838169629319E-2</v>
      </c>
      <c r="G43" s="1">
        <v>1.2427511191773675</v>
      </c>
      <c r="H43" s="1">
        <v>2.6944047926287178</v>
      </c>
      <c r="I43" s="1">
        <v>4.022996786530487</v>
      </c>
      <c r="J43" s="1">
        <v>-0.93279307729920058</v>
      </c>
      <c r="K43" s="1">
        <v>-0.59685796684794157</v>
      </c>
      <c r="L43" s="1">
        <v>2.5474514286780874</v>
      </c>
      <c r="M43" s="1">
        <v>3.5434970845853675</v>
      </c>
      <c r="N43" s="1">
        <v>-0.15408881370533159</v>
      </c>
      <c r="O43" s="1">
        <v>4.2821793101318117E-2</v>
      </c>
      <c r="P43" s="1">
        <v>1.8728470936617974</v>
      </c>
      <c r="Q43" s="1">
        <v>3.0769863110893554</v>
      </c>
      <c r="R43" s="1">
        <v>2.4232912936094273</v>
      </c>
      <c r="S43" s="1">
        <v>3.5338855090920474</v>
      </c>
      <c r="T43" s="1">
        <v>-0.90355852352735855</v>
      </c>
      <c r="U43" s="1">
        <v>1.0623252158786873</v>
      </c>
      <c r="V43" s="1">
        <v>-1.7199247639044226</v>
      </c>
      <c r="W43" s="1">
        <v>-1.0125843159097425</v>
      </c>
      <c r="X43" s="1">
        <v>0.3139099735062274</v>
      </c>
      <c r="Y43" s="1">
        <v>-3.7660644260778531E-5</v>
      </c>
      <c r="Z43" s="1">
        <v>2.0514903614602353</v>
      </c>
      <c r="AA43" s="1">
        <v>3.273567927878537</v>
      </c>
      <c r="AB43" s="1">
        <v>4.0551314122297768</v>
      </c>
      <c r="AC43" s="1">
        <v>1.5355538889027769</v>
      </c>
      <c r="AD43" s="1">
        <v>3.4672623024331974</v>
      </c>
      <c r="AE43" s="1">
        <v>3.2985840893658276</v>
      </c>
      <c r="AF43" s="1">
        <v>3.4056979253450175</v>
      </c>
      <c r="AG43" s="1">
        <v>1.9745420732301375</v>
      </c>
      <c r="AH43" s="1">
        <v>4.6682299890162121E-2</v>
      </c>
      <c r="AI43" s="1">
        <v>-0.79277414761321063</v>
      </c>
      <c r="AJ43" s="1">
        <v>-1.1729792013263425</v>
      </c>
      <c r="AK43" s="1">
        <v>-1.4642330075624026</v>
      </c>
      <c r="AL43" s="1">
        <v>2.8137679284372457</v>
      </c>
      <c r="AM43" s="1">
        <v>0.59842186420123544</v>
      </c>
      <c r="AN43" s="1">
        <v>4.0511451215169272</v>
      </c>
      <c r="AO43" s="1">
        <v>4.7322769654089774</v>
      </c>
      <c r="AP43" s="1">
        <v>3.5978857236536372</v>
      </c>
      <c r="AQ43" s="1">
        <v>4.1034602895902275</v>
      </c>
      <c r="AR43" s="1">
        <v>2.5262869638048771</v>
      </c>
      <c r="AS43" s="1">
        <v>4.4375492013597864</v>
      </c>
      <c r="AT43" s="2">
        <v>3.541646303465757</v>
      </c>
      <c r="AU43" s="2">
        <v>3.9021327238302068</v>
      </c>
      <c r="AV43" s="2">
        <v>-1.0999885104607116E-2</v>
      </c>
      <c r="AW43" s="2">
        <v>-0.26802305549895611</v>
      </c>
      <c r="AX43" s="2">
        <v>-7.3742622589900997E-3</v>
      </c>
      <c r="AY43" s="2">
        <v>0.43458636684331986</v>
      </c>
      <c r="AZ43" s="2">
        <v>0.36948037712327786</v>
      </c>
      <c r="BA43" s="2">
        <v>0.50938694165066689</v>
      </c>
      <c r="BB43" s="2">
        <v>0.45729884832955425</v>
      </c>
      <c r="BC43" s="2">
        <v>2.4810215401687556</v>
      </c>
      <c r="BD43" s="2">
        <v>-0.23235877184337894</v>
      </c>
      <c r="BE43" s="2">
        <v>0.83649340262312633</v>
      </c>
      <c r="BF43" s="2">
        <v>3.9848660081222897E-2</v>
      </c>
      <c r="BG43" s="2">
        <v>1.4523165358167069</v>
      </c>
      <c r="BH43" s="2">
        <v>5.0196202172426574</v>
      </c>
      <c r="BI43" s="2">
        <v>1.670618996969697</v>
      </c>
      <c r="BJ43" s="2">
        <v>-0.12367561707996011</v>
      </c>
      <c r="BK43" s="2">
        <v>2.3926053116082668</v>
      </c>
      <c r="BL43" s="2">
        <v>0.64639620820091293</v>
      </c>
      <c r="BM43" s="2">
        <v>5.0304003711064667</v>
      </c>
      <c r="BN43" s="2">
        <v>1.4688398451456568</v>
      </c>
      <c r="BO43" s="2">
        <v>1.5492542384690868</v>
      </c>
      <c r="BP43" s="2">
        <v>0.86046734341364695</v>
      </c>
      <c r="BQ43" s="2">
        <v>0.52065844188375288</v>
      </c>
      <c r="BR43" s="2">
        <v>2.5141713687087766</v>
      </c>
      <c r="BS43" s="2">
        <v>0.16994473203725474</v>
      </c>
      <c r="BT43" s="2">
        <v>-0.23259279589886203</v>
      </c>
      <c r="BU43" s="2">
        <v>0.62012877720709825</v>
      </c>
      <c r="BV43" s="2">
        <v>2.9213782634584362</v>
      </c>
      <c r="BW43" s="2">
        <v>1.7953414648328161</v>
      </c>
      <c r="BX43" s="2">
        <v>0.37623933992421033</v>
      </c>
      <c r="BY43" s="2">
        <v>0.86666262606956623</v>
      </c>
      <c r="BZ43" s="2">
        <v>1.3571961041116263</v>
      </c>
      <c r="CA43" s="2">
        <v>0.23714257674522432</v>
      </c>
      <c r="CB43" s="2">
        <v>0.37090538516099025</v>
      </c>
      <c r="CC43" s="2">
        <v>1.6153619850594563</v>
      </c>
      <c r="CE43">
        <f t="shared" si="0"/>
        <v>1.6741372519477791</v>
      </c>
      <c r="CF43">
        <f t="shared" si="1"/>
        <v>1.2542366919334291</v>
      </c>
      <c r="CG43">
        <f t="shared" si="2"/>
        <v>1.3378353392394655</v>
      </c>
      <c r="CH43">
        <f t="shared" si="3"/>
        <v>0.2675120745897725</v>
      </c>
      <c r="CI43">
        <f t="shared" si="4"/>
        <v>0.41990056001434994</v>
      </c>
      <c r="CJ43">
        <f t="shared" si="5"/>
        <v>0.57265661061710382</v>
      </c>
      <c r="CK43" t="s">
        <v>80</v>
      </c>
      <c r="CN43" t="s">
        <v>72</v>
      </c>
      <c r="CO43">
        <v>0.18364191861357243</v>
      </c>
      <c r="CP43">
        <v>0.26029214911781323</v>
      </c>
    </row>
    <row r="44" spans="1:94" x14ac:dyDescent="0.2">
      <c r="A44" t="s">
        <v>81</v>
      </c>
      <c r="B44" s="1">
        <v>0.38216751745945943</v>
      </c>
      <c r="C44" s="1">
        <v>0.87247605191576239</v>
      </c>
      <c r="D44" s="1">
        <v>1.9208187597010022</v>
      </c>
      <c r="E44" s="1">
        <v>2.8589340765103426</v>
      </c>
      <c r="F44" s="1">
        <v>1.1163931944255412E-2</v>
      </c>
      <c r="G44" s="1">
        <v>1.0337906303647424</v>
      </c>
      <c r="H44" s="1">
        <v>2.4149148934994722</v>
      </c>
      <c r="I44" s="1">
        <v>3.2162584450097822</v>
      </c>
      <c r="J44" s="1">
        <v>0.52225098107912038</v>
      </c>
      <c r="K44" s="1">
        <v>1.5131485976764625</v>
      </c>
      <c r="L44" s="1">
        <v>1.9157870970031623</v>
      </c>
      <c r="M44" s="1">
        <v>3.0535119311536123</v>
      </c>
      <c r="N44" s="1">
        <v>0.91624182040705238</v>
      </c>
      <c r="O44" s="1">
        <v>1.6812276943946225</v>
      </c>
      <c r="P44" s="1">
        <v>1.6118577408833323</v>
      </c>
      <c r="Q44" s="1">
        <v>2.3571829954264696</v>
      </c>
      <c r="R44" s="1">
        <v>1.8794434326682525</v>
      </c>
      <c r="S44" s="1">
        <v>3.6577809234227026</v>
      </c>
      <c r="T44" s="1">
        <v>0.49566996389311835</v>
      </c>
      <c r="U44" s="1">
        <v>0.94119998832163243</v>
      </c>
      <c r="V44" s="1">
        <v>1.3446736676739024</v>
      </c>
      <c r="W44" s="1">
        <v>0.78617335650873232</v>
      </c>
      <c r="X44" s="1">
        <v>0.76843343796192243</v>
      </c>
      <c r="Y44" s="1">
        <v>0.82251863166916239</v>
      </c>
      <c r="Z44" s="1">
        <v>2.4420637383602894</v>
      </c>
      <c r="AA44" s="1">
        <v>1.5603670220657895</v>
      </c>
      <c r="AB44" s="1">
        <v>2.0016104931913197</v>
      </c>
      <c r="AC44" s="1">
        <v>2.2312135807768794</v>
      </c>
      <c r="AD44" s="1">
        <v>4.6001632906354226</v>
      </c>
      <c r="AE44" s="1">
        <v>4.2223711268203328</v>
      </c>
      <c r="AF44" s="1">
        <v>3.1003188801507222</v>
      </c>
      <c r="AG44" s="1">
        <v>1.0134440785242724</v>
      </c>
      <c r="AH44" s="1">
        <v>0.52778212443924644</v>
      </c>
      <c r="AI44" s="1">
        <v>0.76522830978217238</v>
      </c>
      <c r="AJ44" s="1">
        <v>1.5318453980826925</v>
      </c>
      <c r="AK44" s="1">
        <v>1.6239039161705924</v>
      </c>
      <c r="AL44" s="1">
        <v>0.94194617644796208</v>
      </c>
      <c r="AM44" s="1">
        <v>0.99505350985858243</v>
      </c>
      <c r="AN44" s="1">
        <v>2.2383169455421825</v>
      </c>
      <c r="AO44" s="1">
        <v>4.0803094517299128</v>
      </c>
      <c r="AP44" s="1">
        <v>2.8388490436550424</v>
      </c>
      <c r="AQ44" s="1">
        <v>2.6088121719057624</v>
      </c>
      <c r="AR44" s="1">
        <v>1.9744724693916296</v>
      </c>
      <c r="AS44" s="1">
        <v>2.7033186429680396</v>
      </c>
      <c r="AT44" s="2">
        <v>1.9482340042482695</v>
      </c>
      <c r="AU44" s="2">
        <v>2.0758430265652197</v>
      </c>
      <c r="AV44" s="2">
        <v>2.7498709869948694</v>
      </c>
      <c r="AW44" s="2" t="s">
        <v>67</v>
      </c>
      <c r="AX44" s="2">
        <v>0.98926089761949965</v>
      </c>
      <c r="AY44" s="2">
        <v>0.77575614693657458</v>
      </c>
      <c r="AZ44" s="2">
        <v>1.0993417694985297</v>
      </c>
      <c r="BA44" s="2">
        <v>1.2780731046373395</v>
      </c>
      <c r="BB44" s="2">
        <v>0.7259682866856132</v>
      </c>
      <c r="BC44" s="2">
        <v>2.9468577207106899</v>
      </c>
      <c r="BD44" s="2">
        <v>1.3095309991145552</v>
      </c>
      <c r="BE44" s="2">
        <v>-0.46697697201949384</v>
      </c>
      <c r="BF44" s="2">
        <v>1.3073486824955696</v>
      </c>
      <c r="BG44" s="2">
        <v>1.0228224724989796</v>
      </c>
      <c r="BH44" s="2">
        <v>3.2951313837902796</v>
      </c>
      <c r="BI44" s="2">
        <v>2.8050757302098095</v>
      </c>
      <c r="BJ44" s="2">
        <v>3.1470882608334696</v>
      </c>
      <c r="BK44" s="2">
        <v>1.6312856119668595</v>
      </c>
      <c r="BL44" s="2">
        <v>1.5985967562938996</v>
      </c>
      <c r="BM44" s="2">
        <v>2.3727205011952996</v>
      </c>
      <c r="BN44" s="2">
        <v>1.8955800658955595</v>
      </c>
      <c r="BO44" s="2">
        <v>1.3381991857485995</v>
      </c>
      <c r="BP44" s="2">
        <v>1.6778510239151996</v>
      </c>
      <c r="BQ44" s="2">
        <v>1.5614836262418497</v>
      </c>
      <c r="BR44" s="2">
        <v>0.92393201368754319</v>
      </c>
      <c r="BS44" s="2">
        <v>1.6604935243643895</v>
      </c>
      <c r="BT44" s="2">
        <v>0.99031207316434722</v>
      </c>
      <c r="BU44" s="2">
        <v>1.1673283927395941</v>
      </c>
      <c r="BV44" s="2">
        <v>1.1774674108215002</v>
      </c>
      <c r="BW44" s="2">
        <v>1.2529175721085593</v>
      </c>
      <c r="BX44" s="2">
        <v>1.0826529998424872</v>
      </c>
      <c r="BY44" s="2">
        <v>0.94824620992907915</v>
      </c>
      <c r="BZ44" s="2">
        <v>1.6794157311723852</v>
      </c>
      <c r="CA44" s="2">
        <v>2.3874976325252253</v>
      </c>
      <c r="CB44" s="2">
        <v>1.0431988371031702</v>
      </c>
      <c r="CC44" s="2">
        <v>1.0537411703148492</v>
      </c>
      <c r="CE44">
        <f t="shared" ref="CE44:CE75" si="6">AVERAGE(B44:AS44)</f>
        <v>1.8404322031147033</v>
      </c>
      <c r="CF44">
        <f t="shared" ref="CF44:CF75" si="7">AVERAGE(AT44:CC44)</f>
        <v>1.5557756239957194</v>
      </c>
      <c r="CG44">
        <f t="shared" ref="CG44:CG75" si="8">2^(CE44 - CF44)</f>
        <v>1.2181202663321731</v>
      </c>
      <c r="CH44">
        <f t="shared" ref="CH44:CH75" si="9">_xlfn.T.TEST(B44:AS44,AT44:CC44, 2, 3)</f>
        <v>0.18602583038022488</v>
      </c>
      <c r="CI44">
        <f t="shared" ref="CI44:CI75" si="10">LOG(CG44,2)</f>
        <v>0.2846565791189839</v>
      </c>
      <c r="CJ44">
        <f t="shared" ref="CJ44:CJ75" si="11">-LOG(CH44,10)</f>
        <v>0.73042674818675513</v>
      </c>
      <c r="CK44" t="s">
        <v>81</v>
      </c>
      <c r="CN44" t="s">
        <v>73</v>
      </c>
      <c r="CO44">
        <v>0.11756421006265917</v>
      </c>
      <c r="CP44">
        <v>0.25765251278484863</v>
      </c>
    </row>
    <row r="45" spans="1:94" x14ac:dyDescent="0.2">
      <c r="A45" t="s">
        <v>82</v>
      </c>
      <c r="B45" s="1">
        <v>3.2790701057047009</v>
      </c>
      <c r="C45" s="1">
        <v>3.0067732760724706</v>
      </c>
      <c r="D45" s="1">
        <v>4.8122002320558508</v>
      </c>
      <c r="E45" s="1">
        <v>4.3909282648366705</v>
      </c>
      <c r="F45" s="1">
        <v>1.6426196991475515</v>
      </c>
      <c r="G45" s="1">
        <v>2.4253457382782608</v>
      </c>
      <c r="H45" s="1">
        <v>3.2209557206597506</v>
      </c>
      <c r="I45" s="1">
        <v>2.2248965727833006</v>
      </c>
      <c r="J45" s="1">
        <v>3.3186995150710707</v>
      </c>
      <c r="K45" s="1">
        <v>3.8236143530988409</v>
      </c>
      <c r="L45" s="1">
        <v>3.3204741529236905</v>
      </c>
      <c r="M45" s="1">
        <v>4.9077135021389404</v>
      </c>
      <c r="N45" s="1">
        <v>2.3474982001928604</v>
      </c>
      <c r="O45" s="1">
        <v>2.2825351660452302</v>
      </c>
      <c r="P45" s="1">
        <v>3.0013843512962604</v>
      </c>
      <c r="Q45" s="1">
        <v>2.4252013029626625</v>
      </c>
      <c r="R45" s="1">
        <v>2.5656514595672002</v>
      </c>
      <c r="S45" s="1">
        <v>1.8451561172097954</v>
      </c>
      <c r="T45" s="1">
        <v>1.5784468088350465</v>
      </c>
      <c r="U45" s="1">
        <v>2.1206334870995702</v>
      </c>
      <c r="V45" s="1">
        <v>2.0609007124805103</v>
      </c>
      <c r="W45" s="1">
        <v>1.6970538176906675</v>
      </c>
      <c r="X45" s="1">
        <v>2.0885246243152804</v>
      </c>
      <c r="Y45" s="1">
        <v>2.1573784516613408</v>
      </c>
      <c r="Z45" s="1">
        <v>1.9816934767347174</v>
      </c>
      <c r="AA45" s="1">
        <v>0.45687168499243147</v>
      </c>
      <c r="AB45" s="1">
        <v>2.5566501988988812</v>
      </c>
      <c r="AC45" s="1">
        <v>3.437542089186731</v>
      </c>
      <c r="AD45" s="1">
        <v>1.3323821776648956</v>
      </c>
      <c r="AE45" s="1">
        <v>1.6844377982373846</v>
      </c>
      <c r="AF45" s="1">
        <v>1.5638785408112557</v>
      </c>
      <c r="AG45" s="1">
        <v>2.6753223905717105</v>
      </c>
      <c r="AH45" s="1">
        <v>2.4240978540871607</v>
      </c>
      <c r="AI45" s="1">
        <v>1.9743475183136425</v>
      </c>
      <c r="AJ45" s="1">
        <v>1.7036350467697015</v>
      </c>
      <c r="AK45" s="1">
        <v>1.4517181239701855</v>
      </c>
      <c r="AL45" s="1">
        <v>1.9036955454559465</v>
      </c>
      <c r="AM45" s="1">
        <v>3.0001237999350607</v>
      </c>
      <c r="AN45" s="1">
        <v>2.0910433436804903</v>
      </c>
      <c r="AO45" s="1">
        <v>2.5052134348591806</v>
      </c>
      <c r="AP45" s="1">
        <v>1.5309998673878515</v>
      </c>
      <c r="AQ45" s="1">
        <v>1.2827499866437786</v>
      </c>
      <c r="AR45" s="1">
        <v>2.7101601380568612</v>
      </c>
      <c r="AS45" s="1">
        <v>2.2021406527825413</v>
      </c>
      <c r="AT45" s="2">
        <v>-2.0489014543950579E-2</v>
      </c>
      <c r="AU45" s="2">
        <v>-0.15635279926464163</v>
      </c>
      <c r="AV45" s="2">
        <v>3.9549947347409611</v>
      </c>
      <c r="AW45" s="2" t="s">
        <v>67</v>
      </c>
      <c r="AX45" s="2">
        <v>2.4705943319760313</v>
      </c>
      <c r="AY45" s="2">
        <v>2.7558811980349414</v>
      </c>
      <c r="AZ45" s="2">
        <v>0.35832318682966147</v>
      </c>
      <c r="BA45" s="2">
        <v>0.9258218276471113</v>
      </c>
      <c r="BB45" s="2">
        <v>1.9103613016569443</v>
      </c>
      <c r="BC45" s="2">
        <v>2.5192156032505624</v>
      </c>
      <c r="BD45" s="2">
        <v>3.8810638121631946</v>
      </c>
      <c r="BE45" s="2">
        <v>-0.29582446196560958</v>
      </c>
      <c r="BF45" s="2">
        <v>0.93878081352375142</v>
      </c>
      <c r="BG45" s="2">
        <v>-0.3841562720085186</v>
      </c>
      <c r="BH45" s="2" t="s">
        <v>67</v>
      </c>
      <c r="BI45" s="2">
        <v>5.7253133941401515</v>
      </c>
      <c r="BJ45" s="2">
        <v>7.1782906143250216</v>
      </c>
      <c r="BK45" s="2">
        <v>2.0956021487888914</v>
      </c>
      <c r="BL45" s="2">
        <v>1.6063514066378013</v>
      </c>
      <c r="BM45" s="2">
        <v>1.8299037394525115</v>
      </c>
      <c r="BN45" s="2">
        <v>1.3175874927070397E-2</v>
      </c>
      <c r="BO45" s="2">
        <v>1.6357478169960715</v>
      </c>
      <c r="BP45" s="2">
        <v>0.27198003410985128</v>
      </c>
      <c r="BQ45" s="2">
        <v>2.4889359368719015</v>
      </c>
      <c r="BR45" s="2">
        <v>3.1951798720799145</v>
      </c>
      <c r="BS45" s="2">
        <v>1.2305789414929416</v>
      </c>
      <c r="BT45" s="2">
        <v>0.94553449803985434</v>
      </c>
      <c r="BU45" s="2">
        <v>1.2754296513415944</v>
      </c>
      <c r="BV45" s="2">
        <v>1.3646392206621545</v>
      </c>
      <c r="BW45" s="2">
        <v>2.5552940728027744</v>
      </c>
      <c r="BX45" s="2">
        <v>1.6746805160912146</v>
      </c>
      <c r="BY45" s="2">
        <v>1.2002572633799644</v>
      </c>
      <c r="BZ45" s="2">
        <v>2.5501860881060243</v>
      </c>
      <c r="CA45" s="2">
        <v>4.5596055578477444</v>
      </c>
      <c r="CB45" s="2">
        <v>3.8516615124329245</v>
      </c>
      <c r="CC45" s="2">
        <v>3.1287667444724243</v>
      </c>
      <c r="CE45">
        <f t="shared" si="6"/>
        <v>2.4320990750265445</v>
      </c>
      <c r="CF45">
        <f t="shared" si="7"/>
        <v>2.0363332107952723</v>
      </c>
      <c r="CG45">
        <f t="shared" si="8"/>
        <v>1.3156409916048</v>
      </c>
      <c r="CH45">
        <f t="shared" si="9"/>
        <v>0.23113495182834215</v>
      </c>
      <c r="CI45">
        <f t="shared" si="10"/>
        <v>0.39576586423127225</v>
      </c>
      <c r="CJ45">
        <f t="shared" si="11"/>
        <v>0.63613437629318281</v>
      </c>
      <c r="CK45" t="s">
        <v>82</v>
      </c>
      <c r="CN45" t="s">
        <v>79</v>
      </c>
      <c r="CO45">
        <v>0.11057516299423188</v>
      </c>
      <c r="CP45">
        <v>0.24455398883040877</v>
      </c>
    </row>
    <row r="46" spans="1:94" x14ac:dyDescent="0.2">
      <c r="A46" t="s">
        <v>83</v>
      </c>
      <c r="B46" s="1">
        <v>0.26673422285592285</v>
      </c>
      <c r="C46" s="1">
        <v>0.15118457541388586</v>
      </c>
      <c r="D46" s="1">
        <v>0.23202587553071685</v>
      </c>
      <c r="E46" s="1">
        <v>0.68606129945441685</v>
      </c>
      <c r="F46" s="1">
        <v>-0.22999269235277009</v>
      </c>
      <c r="G46" s="1">
        <v>0.38281116721799879</v>
      </c>
      <c r="H46" s="1">
        <v>0.44629556178507779</v>
      </c>
      <c r="I46" s="1">
        <v>-0.60347670102361028</v>
      </c>
      <c r="J46" s="1">
        <v>0.97335671063375573</v>
      </c>
      <c r="K46" s="1">
        <v>0.84325475093183777</v>
      </c>
      <c r="L46" s="1">
        <v>0.24483755136638885</v>
      </c>
      <c r="M46" s="1">
        <v>-6.8455177645802001E-3</v>
      </c>
      <c r="N46" s="1">
        <v>-0.6310522749834101</v>
      </c>
      <c r="O46" s="1">
        <v>-0.32641926161932011</v>
      </c>
      <c r="P46" s="1">
        <v>0.2182962872586518</v>
      </c>
      <c r="Q46" s="1">
        <v>-0.46341913548720987</v>
      </c>
      <c r="R46" s="1">
        <v>0.16130269669872876</v>
      </c>
      <c r="S46" s="1">
        <v>-9.5021319658000203E-2</v>
      </c>
      <c r="T46" s="1">
        <v>7.1377917761813792E-2</v>
      </c>
      <c r="U46" s="1">
        <v>0.77862471962217883</v>
      </c>
      <c r="V46" s="1">
        <v>0.19959564849073985</v>
      </c>
      <c r="W46" s="1">
        <v>-3.8127668455370078E-2</v>
      </c>
      <c r="X46" s="1">
        <v>0.25351119231485386</v>
      </c>
      <c r="Y46" s="1">
        <v>0.4067363782109128</v>
      </c>
      <c r="Z46" s="1">
        <v>-0.52943973553280577</v>
      </c>
      <c r="AA46" s="1">
        <v>-0.51142401559134243</v>
      </c>
      <c r="AB46" s="1">
        <v>0.43037928324439656</v>
      </c>
      <c r="AC46" s="1">
        <v>0.46532865344496366</v>
      </c>
      <c r="AD46" s="1">
        <v>-0.65714588525285011</v>
      </c>
      <c r="AE46" s="1">
        <v>-3.4241464455120219E-2</v>
      </c>
      <c r="AF46" s="1">
        <v>-0.80182119482852021</v>
      </c>
      <c r="AG46" s="1">
        <v>0.92929324105647426</v>
      </c>
      <c r="AH46" s="1">
        <v>2.1467849295429775E-2</v>
      </c>
      <c r="AI46" s="1">
        <v>0.48992959694122684</v>
      </c>
      <c r="AJ46" s="1">
        <v>-2.0161177308174127E-2</v>
      </c>
      <c r="AK46" s="1">
        <v>-0.25487575947824015</v>
      </c>
      <c r="AL46" s="1">
        <v>0.28217229518836584</v>
      </c>
      <c r="AM46" s="1">
        <v>0.35196198928297584</v>
      </c>
      <c r="AN46" s="1">
        <v>6.6128141334184765E-2</v>
      </c>
      <c r="AO46" s="1">
        <v>0.17672964039619077</v>
      </c>
      <c r="AP46" s="1">
        <v>-0.4339874355073402</v>
      </c>
      <c r="AQ46" s="1">
        <v>-0.34485421487230028</v>
      </c>
      <c r="AR46" s="1">
        <v>8.926792506440262E-2</v>
      </c>
      <c r="AS46" s="1">
        <v>0.21936376974011662</v>
      </c>
      <c r="AT46" s="2">
        <v>-1.7821368604201102</v>
      </c>
      <c r="AU46" s="2">
        <v>-0.69136499211222335</v>
      </c>
      <c r="AV46" s="2">
        <v>0.38876273849550458</v>
      </c>
      <c r="AW46" s="2">
        <v>0.40791041668992056</v>
      </c>
      <c r="AX46" s="2">
        <v>-1.3182775131322424</v>
      </c>
      <c r="AY46" s="2">
        <v>-0.14481208684666441</v>
      </c>
      <c r="AZ46" s="2">
        <v>-1.1328208851387234</v>
      </c>
      <c r="BA46" s="2">
        <v>-0.48103725688957077</v>
      </c>
      <c r="BB46" s="2">
        <v>-0.2512707238934303</v>
      </c>
      <c r="BC46" s="2">
        <v>-0.15331512363862987</v>
      </c>
      <c r="BD46" s="2">
        <v>-0.21353618404235131</v>
      </c>
      <c r="BE46" s="2">
        <v>0.4255474737137166</v>
      </c>
      <c r="BF46" s="2">
        <v>-5.8915741234117414E-2</v>
      </c>
      <c r="BG46" s="2">
        <v>-0.64263074249018037</v>
      </c>
      <c r="BH46" s="2">
        <v>1.3810707615284294</v>
      </c>
      <c r="BI46" s="2">
        <v>0.76532804266318955</v>
      </c>
      <c r="BJ46" s="2">
        <v>0.44866721101758056</v>
      </c>
      <c r="BK46" s="2">
        <v>0.72399723757686962</v>
      </c>
      <c r="BL46" s="2">
        <v>-0.62083342397866637</v>
      </c>
      <c r="BM46" s="2">
        <v>4.1706829254598621E-2</v>
      </c>
      <c r="BN46" s="2">
        <v>-0.25714436735425739</v>
      </c>
      <c r="BO46" s="2">
        <v>-0.98278336854047443</v>
      </c>
      <c r="BP46" s="2">
        <v>-0.88615975373919631</v>
      </c>
      <c r="BQ46" s="2">
        <v>-0.24702885099106339</v>
      </c>
      <c r="BR46" s="2">
        <v>0.15722325612303867</v>
      </c>
      <c r="BS46" s="2">
        <v>-0.31584209808992386</v>
      </c>
      <c r="BT46" s="2">
        <v>-0.71781536792444167</v>
      </c>
      <c r="BU46" s="2">
        <v>-0.42597692280359833</v>
      </c>
      <c r="BV46" s="2">
        <v>-0.99599878500530936</v>
      </c>
      <c r="BW46" s="2">
        <v>0.10174881640312672</v>
      </c>
      <c r="BX46" s="2">
        <v>-0.45936098983717433</v>
      </c>
      <c r="BY46" s="2">
        <v>-0.61679272572275545</v>
      </c>
      <c r="BZ46" s="2">
        <v>2.4718242290891701E-2</v>
      </c>
      <c r="CA46" s="2">
        <v>-0.92967285707107328</v>
      </c>
      <c r="CB46" s="2">
        <v>0.48772253527679665</v>
      </c>
      <c r="CC46" s="2">
        <v>0.71231454305295672</v>
      </c>
      <c r="CE46">
        <f t="shared" si="6"/>
        <v>8.7630079235582845E-2</v>
      </c>
      <c r="CF46">
        <f t="shared" si="7"/>
        <v>-0.22941137546693213</v>
      </c>
      <c r="CG46">
        <f t="shared" si="8"/>
        <v>1.2457732113644679</v>
      </c>
      <c r="CH46">
        <f t="shared" si="9"/>
        <v>1.7258496462826362E-2</v>
      </c>
      <c r="CI46">
        <f t="shared" si="10"/>
        <v>0.31704145470251494</v>
      </c>
      <c r="CJ46">
        <f t="shared" si="11"/>
        <v>1.7629970421283585</v>
      </c>
      <c r="CK46" t="s">
        <v>83</v>
      </c>
      <c r="CN46" t="s">
        <v>124</v>
      </c>
      <c r="CO46">
        <v>8.2467460921422625E-2</v>
      </c>
      <c r="CP46">
        <v>0.24445511320603455</v>
      </c>
    </row>
    <row r="47" spans="1:94" x14ac:dyDescent="0.2">
      <c r="A47" t="s">
        <v>84</v>
      </c>
      <c r="B47" s="1">
        <v>1.7347431332921717</v>
      </c>
      <c r="C47" s="1">
        <v>2.2224366780491915</v>
      </c>
      <c r="D47" s="1">
        <v>2.3461980348671116</v>
      </c>
      <c r="E47" s="1">
        <v>3.9488616087512014</v>
      </c>
      <c r="F47" s="1">
        <v>2.0654930479003517</v>
      </c>
      <c r="G47" s="1">
        <v>2.1629809747773217</v>
      </c>
      <c r="H47" s="1">
        <v>3.2320797510119714</v>
      </c>
      <c r="I47" s="1">
        <v>3.6883108493660615</v>
      </c>
      <c r="J47" s="1">
        <v>2.6800302210344515</v>
      </c>
      <c r="K47" s="1">
        <v>3.4854453924690616</v>
      </c>
      <c r="L47" s="1">
        <v>5.1745836758403314</v>
      </c>
      <c r="M47" s="1">
        <v>2.7040421147716418</v>
      </c>
      <c r="N47" s="1">
        <v>1.5416036141883915</v>
      </c>
      <c r="O47" s="1">
        <v>2.9285095508792316</v>
      </c>
      <c r="P47" s="1">
        <v>3.0526150726070416</v>
      </c>
      <c r="Q47" s="1">
        <v>2.9758344276111877</v>
      </c>
      <c r="R47" s="1">
        <v>3.2775000712441016</v>
      </c>
      <c r="S47" s="1">
        <v>2.9734506067040218</v>
      </c>
      <c r="T47" s="1">
        <v>1.1962027796647967</v>
      </c>
      <c r="U47" s="1">
        <v>1.5835482764938515</v>
      </c>
      <c r="V47" s="1">
        <v>2.8643845348813217</v>
      </c>
      <c r="W47" s="1">
        <v>2.3627857055427914</v>
      </c>
      <c r="X47" s="1">
        <v>2.0394593204590814</v>
      </c>
      <c r="Y47" s="1">
        <v>2.0541726914154319</v>
      </c>
      <c r="Z47" s="1">
        <v>2.0250831547159907</v>
      </c>
      <c r="AA47" s="1">
        <v>0.43001050581629374</v>
      </c>
      <c r="AB47" s="1">
        <v>3.5065288094043239</v>
      </c>
      <c r="AC47" s="1">
        <v>5.0736520009801538</v>
      </c>
      <c r="AD47" s="1">
        <v>1.2662844332324836</v>
      </c>
      <c r="AE47" s="1">
        <v>2.1634933482562317</v>
      </c>
      <c r="AF47" s="1">
        <v>1.8937583455196716</v>
      </c>
      <c r="AG47" s="1">
        <v>1.3693561763660516</v>
      </c>
      <c r="AH47" s="1">
        <v>0.4299795501467496</v>
      </c>
      <c r="AI47" s="1">
        <v>2.1731578760580716</v>
      </c>
      <c r="AJ47" s="1">
        <v>1.9019565323401015</v>
      </c>
      <c r="AK47" s="1">
        <v>2.2352535428727416</v>
      </c>
      <c r="AL47" s="1">
        <v>1.0213595739058228</v>
      </c>
      <c r="AM47" s="1">
        <v>1.6631398848146217</v>
      </c>
      <c r="AN47" s="1">
        <v>1.5748647241183116</v>
      </c>
      <c r="AO47" s="1">
        <v>2.1545990821621119</v>
      </c>
      <c r="AP47" s="1">
        <v>1.4652625128832917</v>
      </c>
      <c r="AQ47" s="1">
        <v>1.3021619204390817</v>
      </c>
      <c r="AR47" s="1">
        <v>1.2830612252920335</v>
      </c>
      <c r="AS47" s="1">
        <v>1.3236070488196838</v>
      </c>
      <c r="AT47" s="2">
        <v>0.95270170436341362</v>
      </c>
      <c r="AU47" s="2">
        <v>1.5389905350228137</v>
      </c>
      <c r="AV47" s="2">
        <v>5.2631176316606538</v>
      </c>
      <c r="AW47" s="2">
        <v>4.5425305310012529</v>
      </c>
      <c r="AX47" s="2">
        <v>0.4531316190153436</v>
      </c>
      <c r="AY47" s="2">
        <v>0.93454549692138356</v>
      </c>
      <c r="AZ47" s="2">
        <v>1.3113810122476637</v>
      </c>
      <c r="BA47" s="2">
        <v>1.3756283379655638</v>
      </c>
      <c r="BB47" s="2">
        <v>2.0228406717150529</v>
      </c>
      <c r="BC47" s="2">
        <v>1.9103845072674166</v>
      </c>
      <c r="BD47" s="2">
        <v>1.3947556921550928</v>
      </c>
      <c r="BE47" s="2">
        <v>2.2284543844543827</v>
      </c>
      <c r="BF47" s="2">
        <v>2.3165046036514738</v>
      </c>
      <c r="BG47" s="2">
        <v>0.83570464644545361</v>
      </c>
      <c r="BH47" s="2">
        <v>7.2751968276017838</v>
      </c>
      <c r="BI47" s="2">
        <v>4.933531262527433</v>
      </c>
      <c r="BJ47" s="2">
        <v>4.4477752688822445</v>
      </c>
      <c r="BK47" s="2">
        <v>2.1108829140790735</v>
      </c>
      <c r="BL47" s="2">
        <v>0.97886337656602374</v>
      </c>
      <c r="BM47" s="2">
        <v>1.2697687518937335</v>
      </c>
      <c r="BN47" s="2">
        <v>1.7555226085757538</v>
      </c>
      <c r="BO47" s="2">
        <v>1.2446737239472836</v>
      </c>
      <c r="BP47" s="2">
        <v>1.5961323328248538</v>
      </c>
      <c r="BQ47" s="2">
        <v>1.2213926671444137</v>
      </c>
      <c r="BR47" s="2">
        <v>0.76171350184446174</v>
      </c>
      <c r="BS47" s="2">
        <v>2.0496863020620957</v>
      </c>
      <c r="BT47" s="2">
        <v>1.6963255577768428</v>
      </c>
      <c r="BU47" s="2">
        <v>2.0737102150249225</v>
      </c>
      <c r="BV47" s="2">
        <v>1.7335642324015428</v>
      </c>
      <c r="BW47" s="2">
        <v>2.1850383652691026</v>
      </c>
      <c r="BX47" s="2">
        <v>1.7726605478949826</v>
      </c>
      <c r="BY47" s="2">
        <v>1.8493645904385727</v>
      </c>
      <c r="BZ47" s="2">
        <v>4.499156920746203</v>
      </c>
      <c r="CA47" s="2">
        <v>1.8798739842970127</v>
      </c>
      <c r="CB47" s="2">
        <v>1.6396649631726228</v>
      </c>
      <c r="CC47" s="2">
        <v>1.5118063382824627</v>
      </c>
      <c r="CE47">
        <f t="shared" si="6"/>
        <v>2.2852691450446807</v>
      </c>
      <c r="CF47">
        <f t="shared" si="7"/>
        <v>2.1546382396427886</v>
      </c>
      <c r="CG47">
        <f t="shared" si="8"/>
        <v>1.0947723518198786</v>
      </c>
      <c r="CH47">
        <f t="shared" si="9"/>
        <v>0.65777938034439887</v>
      </c>
      <c r="CI47">
        <f t="shared" si="10"/>
        <v>0.13063090540189226</v>
      </c>
      <c r="CJ47">
        <f t="shared" si="11"/>
        <v>0.1819197446311123</v>
      </c>
      <c r="CK47" t="s">
        <v>84</v>
      </c>
      <c r="CN47" t="s">
        <v>62</v>
      </c>
      <c r="CO47">
        <v>0.14401674445070553</v>
      </c>
      <c r="CP47">
        <v>0.2376578267553118</v>
      </c>
    </row>
    <row r="48" spans="1:94" x14ac:dyDescent="0.2">
      <c r="A48" t="s">
        <v>85</v>
      </c>
      <c r="B48" s="1">
        <v>2.1328640891878603</v>
      </c>
      <c r="C48" s="1">
        <v>2.3212732609018105</v>
      </c>
      <c r="D48" s="1">
        <v>3.0153576813296903</v>
      </c>
      <c r="E48" s="1">
        <v>4.0984769599627002</v>
      </c>
      <c r="F48" s="1">
        <v>1.2485544420197106</v>
      </c>
      <c r="G48" s="1">
        <v>1.8337667411212104</v>
      </c>
      <c r="H48" s="1">
        <v>1.5103097766891045</v>
      </c>
      <c r="I48" s="1">
        <v>1.4618618927642575</v>
      </c>
      <c r="J48" s="1">
        <v>2.2293482907989604</v>
      </c>
      <c r="K48" s="1">
        <v>2.9161410996945705</v>
      </c>
      <c r="L48" s="1">
        <v>1.3929773601929305</v>
      </c>
      <c r="M48" s="1">
        <v>2.6809713952020804</v>
      </c>
      <c r="N48" s="1">
        <v>1.6827982946992304</v>
      </c>
      <c r="O48" s="1">
        <v>1.7042885239402303</v>
      </c>
      <c r="P48" s="1">
        <v>2.8067932598447602</v>
      </c>
      <c r="Q48" s="1">
        <v>1.6079762031169889</v>
      </c>
      <c r="R48" s="1">
        <v>1.1214761551059815</v>
      </c>
      <c r="S48" s="1">
        <v>1.8252620978382104</v>
      </c>
      <c r="T48" s="1">
        <v>1.4137620197020875</v>
      </c>
      <c r="U48" s="1">
        <v>1.5005112766291695</v>
      </c>
      <c r="V48" s="1">
        <v>0.55258935957449273</v>
      </c>
      <c r="W48" s="1">
        <v>1.2645033658394533</v>
      </c>
      <c r="X48" s="1">
        <v>0.97835495468792044</v>
      </c>
      <c r="Y48" s="1">
        <v>0.95745148939122648</v>
      </c>
      <c r="Z48" s="1">
        <v>1.8564716243776347</v>
      </c>
      <c r="AA48" s="1">
        <v>1.1267483627562616</v>
      </c>
      <c r="AB48" s="1">
        <v>2.3798752690454812</v>
      </c>
      <c r="AC48" s="1">
        <v>3.3547201407524021</v>
      </c>
      <c r="AD48" s="1">
        <v>1.6055651523019905</v>
      </c>
      <c r="AE48" s="1">
        <v>0.80918091162431949</v>
      </c>
      <c r="AF48" s="1">
        <v>1.6848299204599004</v>
      </c>
      <c r="AG48" s="1">
        <v>2.0198232557765703</v>
      </c>
      <c r="AH48" s="1">
        <v>1.8468501540227904</v>
      </c>
      <c r="AI48" s="1">
        <v>1.1925427361827023</v>
      </c>
      <c r="AJ48" s="1">
        <v>0.60679344781937794</v>
      </c>
      <c r="AK48" s="1">
        <v>0.56994408236694361</v>
      </c>
      <c r="AL48" s="1">
        <v>0.55598731897547071</v>
      </c>
      <c r="AM48" s="1">
        <v>0.81504607578068244</v>
      </c>
      <c r="AN48" s="1">
        <v>1.3871219465219626</v>
      </c>
      <c r="AO48" s="1">
        <v>1.3334761280953484</v>
      </c>
      <c r="AP48" s="1">
        <v>1.0885565955317735</v>
      </c>
      <c r="AQ48" s="1">
        <v>1.0463291398917876</v>
      </c>
      <c r="AR48" s="1">
        <v>1.8686987380857814</v>
      </c>
      <c r="AS48" s="1">
        <v>1.7369662966653314</v>
      </c>
      <c r="AT48" s="2">
        <v>-0.22978403201902042</v>
      </c>
      <c r="AU48" s="2">
        <v>0.50439137158128156</v>
      </c>
      <c r="AV48" s="2">
        <v>2.4014687369223315</v>
      </c>
      <c r="AW48" s="2">
        <v>2.6105171930633517</v>
      </c>
      <c r="AX48" s="2">
        <v>1.2592902821641514</v>
      </c>
      <c r="AY48" s="2">
        <v>1.1089998332356816</v>
      </c>
      <c r="AZ48" s="2">
        <v>0.27768110137971158</v>
      </c>
      <c r="BA48" s="2">
        <v>1.5356037227970514</v>
      </c>
      <c r="BB48" s="2">
        <v>1.690399024745741</v>
      </c>
      <c r="BC48" s="2">
        <v>1.5885423958399687</v>
      </c>
      <c r="BD48" s="2">
        <v>2.875126118197981</v>
      </c>
      <c r="BE48" s="2">
        <v>-1.2045189602429889</v>
      </c>
      <c r="BF48" s="2">
        <v>1.0669654290391715</v>
      </c>
      <c r="BG48" s="2">
        <v>0.44700115576622168</v>
      </c>
      <c r="BH48" s="2">
        <v>1.9186920462866317</v>
      </c>
      <c r="BI48" s="2">
        <v>3.8623793495947414</v>
      </c>
      <c r="BJ48" s="2">
        <v>3.449699827363772</v>
      </c>
      <c r="BK48" s="2">
        <v>1.6362956594499016</v>
      </c>
      <c r="BL48" s="2">
        <v>0.68229975398257148</v>
      </c>
      <c r="BM48" s="2">
        <v>-6.0774942090149442E-2</v>
      </c>
      <c r="BN48" s="2">
        <v>0.35458073814862168</v>
      </c>
      <c r="BO48" s="2">
        <v>2.1408186455320219</v>
      </c>
      <c r="BP48" s="2">
        <v>0.9408008714648215</v>
      </c>
      <c r="BQ48" s="2">
        <v>1.1416822099212915</v>
      </c>
      <c r="BR48" s="2">
        <v>1.800383711958381</v>
      </c>
      <c r="BS48" s="2">
        <v>2.3370968393165299</v>
      </c>
      <c r="BT48" s="2">
        <v>0.14526694335925405</v>
      </c>
      <c r="BU48" s="2">
        <v>0.17191738966047404</v>
      </c>
      <c r="BV48" s="2">
        <v>1.2980118130750011</v>
      </c>
      <c r="BW48" s="2">
        <v>0.14857213282003184</v>
      </c>
      <c r="BX48" s="2">
        <v>-5.2753433152027962E-2</v>
      </c>
      <c r="BY48" s="2">
        <v>0.11331516659258904</v>
      </c>
      <c r="BZ48" s="2">
        <v>0.88172451666622209</v>
      </c>
      <c r="CA48" s="2">
        <v>2.3987849411478308</v>
      </c>
      <c r="CB48" s="2">
        <v>1.8689217232826711</v>
      </c>
      <c r="CC48" s="2">
        <v>1.5300797855609611</v>
      </c>
      <c r="CE48">
        <f t="shared" si="6"/>
        <v>1.6623453928924803</v>
      </c>
      <c r="CF48">
        <f t="shared" si="7"/>
        <v>1.2399855295114661</v>
      </c>
      <c r="CG48">
        <f t="shared" si="8"/>
        <v>1.3401178374396077</v>
      </c>
      <c r="CH48">
        <f t="shared" si="9"/>
        <v>5.7123998650742025E-2</v>
      </c>
      <c r="CI48">
        <f t="shared" si="10"/>
        <v>0.42235986338101406</v>
      </c>
      <c r="CJ48">
        <f t="shared" si="11"/>
        <v>1.2431813997758134</v>
      </c>
      <c r="CK48" t="s">
        <v>85</v>
      </c>
      <c r="CN48" t="s">
        <v>106</v>
      </c>
      <c r="CO48">
        <v>0.17886034629280054</v>
      </c>
      <c r="CP48">
        <v>0.23483136818014291</v>
      </c>
    </row>
    <row r="49" spans="1:94" x14ac:dyDescent="0.2">
      <c r="A49" t="s">
        <v>86</v>
      </c>
      <c r="B49" s="1">
        <v>-0.46440360843318684</v>
      </c>
      <c r="C49" s="1">
        <v>-0.37938937005980078</v>
      </c>
      <c r="D49" s="1">
        <v>-0.98448283741418086</v>
      </c>
      <c r="E49" s="1">
        <v>-0.60955388064090887</v>
      </c>
      <c r="F49" s="1">
        <v>-0.66660858811612289</v>
      </c>
      <c r="G49" s="1">
        <v>-7.5138314369308734E-2</v>
      </c>
      <c r="H49" s="1">
        <v>6.9980724109917902E-4</v>
      </c>
      <c r="I49" s="1">
        <v>-0.62970476740000381</v>
      </c>
      <c r="J49" s="1">
        <v>-0.37864732829533088</v>
      </c>
      <c r="K49" s="1">
        <v>9.8404055968998178E-2</v>
      </c>
      <c r="L49" s="1">
        <v>-1.0510727098945067</v>
      </c>
      <c r="M49" s="1">
        <v>-1.4123737544737198</v>
      </c>
      <c r="N49" s="1">
        <v>-0.65247578408730489</v>
      </c>
      <c r="O49" s="1">
        <v>9.6234248079273166E-2</v>
      </c>
      <c r="P49" s="1">
        <v>-0.6617033844160729</v>
      </c>
      <c r="Q49" s="1">
        <v>-0.34397384535557224</v>
      </c>
      <c r="R49" s="1">
        <v>-1.5656882687846027E-2</v>
      </c>
      <c r="S49" s="1">
        <v>-3.4358864934968231E-2</v>
      </c>
      <c r="T49" s="1">
        <v>-6.8807885191885826E-2</v>
      </c>
      <c r="U49" s="1">
        <v>2.2863364586311746E-3</v>
      </c>
      <c r="V49" s="1">
        <v>-0.31987114093272984</v>
      </c>
      <c r="W49" s="1">
        <v>-0.23520499616477683</v>
      </c>
      <c r="X49" s="1">
        <v>-0.19029111897504702</v>
      </c>
      <c r="Y49" s="1">
        <v>-0.12276899120033632</v>
      </c>
      <c r="Z49" s="1">
        <v>-0.49726622196714815</v>
      </c>
      <c r="AA49" s="1">
        <v>-0.13212371993887381</v>
      </c>
      <c r="AB49" s="1">
        <v>0.131187121546055</v>
      </c>
      <c r="AC49" s="1">
        <v>-0.73145515545747997</v>
      </c>
      <c r="AD49" s="1">
        <v>-0.88281400293776691</v>
      </c>
      <c r="AE49" s="1">
        <v>-0.60600129332181785</v>
      </c>
      <c r="AF49" s="1">
        <v>-0.32069763358907982</v>
      </c>
      <c r="AG49" s="1">
        <v>-0.25620449768032882</v>
      </c>
      <c r="AH49" s="1">
        <v>-0.33902884020243584</v>
      </c>
      <c r="AI49" s="1">
        <v>4.8350004797340168E-2</v>
      </c>
      <c r="AJ49" s="1">
        <v>0.11363083416702119</v>
      </c>
      <c r="AK49" s="1">
        <v>-0.18566119947490853</v>
      </c>
      <c r="AL49" s="1">
        <v>-1.4846208441193873</v>
      </c>
      <c r="AM49" s="1">
        <v>-0.44622861420398285</v>
      </c>
      <c r="AN49" s="1">
        <v>0.22847903015750817</v>
      </c>
      <c r="AO49" s="1">
        <v>0.78836115418147212</v>
      </c>
      <c r="AP49" s="1">
        <v>0.22556602284723318</v>
      </c>
      <c r="AQ49" s="1">
        <v>-0.36473917601973282</v>
      </c>
      <c r="AR49" s="1">
        <v>-0.47914162023085799</v>
      </c>
      <c r="AS49" s="1">
        <v>-0.11293491776673222</v>
      </c>
      <c r="AT49" s="2">
        <v>-1.3245671402673208E-2</v>
      </c>
      <c r="AU49" s="2">
        <v>0.81330238220038598</v>
      </c>
      <c r="AV49" s="2">
        <v>-0.64743336327903811</v>
      </c>
      <c r="AW49" s="2">
        <v>-0.28335591990289299</v>
      </c>
      <c r="AX49" s="2">
        <v>-1.176377783774545</v>
      </c>
      <c r="AY49" s="2">
        <v>1.7796475503583851</v>
      </c>
      <c r="AZ49" s="2">
        <v>-0.77584798641488195</v>
      </c>
      <c r="BA49" s="2">
        <v>0.40456902842132497</v>
      </c>
      <c r="BB49" s="2">
        <v>-1.4549333370350239</v>
      </c>
      <c r="BC49" s="2">
        <v>-0.44572502114057716</v>
      </c>
      <c r="BD49" s="2">
        <v>-0.75610067188531804</v>
      </c>
      <c r="BE49" s="2">
        <v>6.4103340175850995E-2</v>
      </c>
      <c r="BF49" s="2">
        <v>-0.14784396362051599</v>
      </c>
      <c r="BG49" s="2">
        <v>-0.47074368292348501</v>
      </c>
      <c r="BH49" s="2">
        <v>-0.79409632891419291</v>
      </c>
      <c r="BI49" s="2">
        <v>-0.30148499108540899</v>
      </c>
      <c r="BJ49" s="2">
        <v>-0.282455912825267</v>
      </c>
      <c r="BK49" s="2">
        <v>-0.40884809705299802</v>
      </c>
      <c r="BL49" s="2">
        <v>-0.70823536504233298</v>
      </c>
      <c r="BM49" s="2">
        <v>-0.11211567239192871</v>
      </c>
      <c r="BN49" s="2">
        <v>-0.87957351446435994</v>
      </c>
      <c r="BO49" s="2">
        <v>-0.40782772864920902</v>
      </c>
      <c r="BP49" s="2">
        <v>-0.65634200270985099</v>
      </c>
      <c r="BQ49" s="2">
        <v>-0.78221795074201506</v>
      </c>
      <c r="BR49" s="2">
        <v>0.226183938622951</v>
      </c>
      <c r="BS49" s="2">
        <v>-0.35939942130764119</v>
      </c>
      <c r="BT49" s="2">
        <v>-0.36240053899790298</v>
      </c>
      <c r="BU49" s="2">
        <v>-5.4752462111336997E-2</v>
      </c>
      <c r="BV49" s="2">
        <v>-0.364378570401718</v>
      </c>
      <c r="BW49" s="2">
        <v>-0.28678125022304701</v>
      </c>
      <c r="BX49" s="2">
        <v>-0.41250000718779301</v>
      </c>
      <c r="BY49" s="2">
        <v>0.37410981769931501</v>
      </c>
      <c r="BZ49" s="2">
        <v>-0.51087257805781894</v>
      </c>
      <c r="CA49" s="2">
        <v>-0.42841958262001695</v>
      </c>
      <c r="CB49" s="2">
        <v>-1.4788079845408539</v>
      </c>
      <c r="CC49" s="2">
        <v>-0.87967625289334306</v>
      </c>
      <c r="CE49">
        <f t="shared" si="6"/>
        <v>-0.32732289032976158</v>
      </c>
      <c r="CF49">
        <f t="shared" si="7"/>
        <v>-0.36057993211443817</v>
      </c>
      <c r="CG49">
        <f t="shared" si="8"/>
        <v>1.0233197761146569</v>
      </c>
      <c r="CH49">
        <f t="shared" si="9"/>
        <v>0.78192824828183971</v>
      </c>
      <c r="CI49">
        <f t="shared" si="10"/>
        <v>3.3257041784676436E-2</v>
      </c>
      <c r="CJ49">
        <f t="shared" si="11"/>
        <v>0.10683309707435117</v>
      </c>
      <c r="CK49" t="s">
        <v>86</v>
      </c>
      <c r="CN49" t="s">
        <v>97</v>
      </c>
      <c r="CO49">
        <v>0.18407429479382001</v>
      </c>
      <c r="CP49">
        <v>0.20793547517239402</v>
      </c>
    </row>
    <row r="50" spans="1:94" x14ac:dyDescent="0.2">
      <c r="A50" t="s">
        <v>87</v>
      </c>
      <c r="B50" s="1">
        <v>1.8102649476764854</v>
      </c>
      <c r="C50" s="1">
        <v>2.1002774637568393</v>
      </c>
      <c r="D50" s="1">
        <v>2.1236317963605593</v>
      </c>
      <c r="E50" s="1">
        <v>2.694499504084729</v>
      </c>
      <c r="F50" s="1">
        <v>2.1948944820426695</v>
      </c>
      <c r="G50" s="1">
        <v>0.65152176425211628</v>
      </c>
      <c r="H50" s="1">
        <v>3.3270774596707193</v>
      </c>
      <c r="I50" s="1">
        <v>4.2179894940258897</v>
      </c>
      <c r="J50" s="1">
        <v>2.5023700884048092</v>
      </c>
      <c r="K50" s="1">
        <v>2.4348105856482194</v>
      </c>
      <c r="L50" s="1">
        <v>2.4574285662349293</v>
      </c>
      <c r="M50" s="1">
        <v>2.6469508683125396</v>
      </c>
      <c r="N50" s="1">
        <v>1.6321602833210893</v>
      </c>
      <c r="O50" s="1">
        <v>3.0276796448588392</v>
      </c>
      <c r="P50" s="1">
        <v>3.7881692627115693</v>
      </c>
      <c r="Q50" s="1">
        <v>3.4881465030964058</v>
      </c>
      <c r="R50" s="1">
        <v>2.8966395756202594</v>
      </c>
      <c r="S50" s="1">
        <v>2.3259296304302595</v>
      </c>
      <c r="T50" s="1">
        <v>2.3608320803231395</v>
      </c>
      <c r="U50" s="1">
        <v>2.0754164191989695</v>
      </c>
      <c r="V50" s="1">
        <v>2.0720522945990592</v>
      </c>
      <c r="W50" s="1">
        <v>2.3269474333322693</v>
      </c>
      <c r="X50" s="1">
        <v>1.7803616526685273</v>
      </c>
      <c r="Y50" s="1">
        <v>2.471626794869489</v>
      </c>
      <c r="Z50" s="1">
        <v>2.728415666061526</v>
      </c>
      <c r="AA50" s="1">
        <v>1.500560433665771</v>
      </c>
      <c r="AB50" s="1">
        <v>5.7307869837137702</v>
      </c>
      <c r="AC50" s="1">
        <v>3.4029290179931011</v>
      </c>
      <c r="AD50" s="1">
        <v>0.95928307725040596</v>
      </c>
      <c r="AE50" s="1">
        <v>1.4807030495808622</v>
      </c>
      <c r="AF50" s="1">
        <v>2.3050470427964393</v>
      </c>
      <c r="AG50" s="1">
        <v>1.5473599642813864</v>
      </c>
      <c r="AH50" s="1">
        <v>1.4564326827247953</v>
      </c>
      <c r="AI50" s="1">
        <v>2.4180312159781696</v>
      </c>
      <c r="AJ50" s="1">
        <v>2.3783889056844294</v>
      </c>
      <c r="AK50" s="1">
        <v>2.6657635742930594</v>
      </c>
      <c r="AL50" s="1">
        <v>1.5796944159587416</v>
      </c>
      <c r="AM50" s="1">
        <v>2.4037490531260994</v>
      </c>
      <c r="AN50" s="1">
        <v>1.6777936153444604</v>
      </c>
      <c r="AO50" s="1">
        <v>2.3214196643306693</v>
      </c>
      <c r="AP50" s="1">
        <v>1.7900923242601463</v>
      </c>
      <c r="AQ50" s="1">
        <v>1.8595574691700283</v>
      </c>
      <c r="AR50" s="1">
        <v>1.2863128248524309</v>
      </c>
      <c r="AS50" s="1">
        <v>1.6089331279994008</v>
      </c>
      <c r="AT50" s="2">
        <v>1.7536277143493009</v>
      </c>
      <c r="AU50" s="2">
        <v>1.6283476778514907</v>
      </c>
      <c r="AV50" s="2">
        <v>4.590935589953661</v>
      </c>
      <c r="AW50" s="2">
        <v>3.945009100685581</v>
      </c>
      <c r="AX50" s="2">
        <v>1.2704381933451807</v>
      </c>
      <c r="AY50" s="2">
        <v>1.6014762245687808</v>
      </c>
      <c r="AZ50" s="2">
        <v>1.7739775959879807</v>
      </c>
      <c r="BA50" s="2">
        <v>1.9994493385225609</v>
      </c>
      <c r="BB50" s="2">
        <v>3.0380279190433317</v>
      </c>
      <c r="BC50" s="2">
        <v>3.0103387977375555</v>
      </c>
      <c r="BD50" s="2">
        <v>0.98176074094252153</v>
      </c>
      <c r="BE50" s="2">
        <v>1.7946611491144315</v>
      </c>
      <c r="BF50" s="2">
        <v>2.5919821962283209</v>
      </c>
      <c r="BG50" s="2">
        <v>0.71000657882730089</v>
      </c>
      <c r="BH50" s="2">
        <v>4.0224878416045708</v>
      </c>
      <c r="BI50" s="2">
        <v>3.5137378881613208</v>
      </c>
      <c r="BJ50" s="2">
        <v>2.9887213173575309</v>
      </c>
      <c r="BK50" s="2">
        <v>3.3557030423451812</v>
      </c>
      <c r="BL50" s="2">
        <v>1.9669997410799609</v>
      </c>
      <c r="BM50" s="2">
        <v>0.99499925439339076</v>
      </c>
      <c r="BN50" s="2">
        <v>3.1584022716764513</v>
      </c>
      <c r="BO50" s="2">
        <v>1.0779750869352709</v>
      </c>
      <c r="BP50" s="2">
        <v>1.0627154449392209</v>
      </c>
      <c r="BQ50" s="2">
        <v>0.11231230742333087</v>
      </c>
      <c r="BR50" s="2">
        <v>1.3185911553762015</v>
      </c>
      <c r="BS50" s="2">
        <v>1.4450713456750286</v>
      </c>
      <c r="BT50" s="2">
        <v>2.9084904971624015</v>
      </c>
      <c r="BU50" s="2">
        <v>3.1577006183289518</v>
      </c>
      <c r="BV50" s="2">
        <v>2.5242711411623615</v>
      </c>
      <c r="BW50" s="2">
        <v>1.3814067819778715</v>
      </c>
      <c r="BX50" s="2">
        <v>1.3668732393819916</v>
      </c>
      <c r="BY50" s="2">
        <v>2.6845136802925214</v>
      </c>
      <c r="BZ50" s="2">
        <v>2.6350880831127417</v>
      </c>
      <c r="CA50" s="2">
        <v>2.1723752515984014</v>
      </c>
      <c r="CB50" s="2">
        <v>1.5598814863071115</v>
      </c>
      <c r="CC50" s="2">
        <v>0.93962750316071153</v>
      </c>
      <c r="CE50">
        <f t="shared" si="6"/>
        <v>2.3297484705583211</v>
      </c>
      <c r="CF50">
        <f t="shared" si="7"/>
        <v>2.1399439943502925</v>
      </c>
      <c r="CG50">
        <f t="shared" si="8"/>
        <v>1.1406091223282437</v>
      </c>
      <c r="CH50">
        <f t="shared" si="9"/>
        <v>0.39385570313843987</v>
      </c>
      <c r="CI50">
        <f t="shared" si="10"/>
        <v>0.18980447620802859</v>
      </c>
      <c r="CJ50">
        <f t="shared" si="11"/>
        <v>0.40466286144610264</v>
      </c>
      <c r="CK50" t="s">
        <v>87</v>
      </c>
      <c r="CN50" t="s">
        <v>48</v>
      </c>
      <c r="CO50">
        <v>0.11863583143694484</v>
      </c>
      <c r="CP50">
        <v>0.20077304252780129</v>
      </c>
    </row>
    <row r="51" spans="1:94" x14ac:dyDescent="0.2">
      <c r="A51" t="s">
        <v>88</v>
      </c>
      <c r="B51" s="1">
        <v>2.0856454369100152</v>
      </c>
      <c r="C51" s="1">
        <v>1.3377545784551392</v>
      </c>
      <c r="D51" s="1">
        <v>2.8357778173252544</v>
      </c>
      <c r="E51" s="1">
        <v>3.681803882008464</v>
      </c>
      <c r="F51" s="1">
        <v>0.54543897115514228</v>
      </c>
      <c r="G51" s="1">
        <v>2.3213181555493545</v>
      </c>
      <c r="H51" s="1">
        <v>1.7076669338661712</v>
      </c>
      <c r="I51" s="1">
        <v>1.0973811562587452</v>
      </c>
      <c r="J51" s="1">
        <v>1.2618706785815521</v>
      </c>
      <c r="K51" s="1">
        <v>1.8490864427537104</v>
      </c>
      <c r="L51" s="1">
        <v>1.4351194633058242</v>
      </c>
      <c r="M51" s="1">
        <v>2.0821544082317862</v>
      </c>
      <c r="N51" s="1">
        <v>0.38478874329835433</v>
      </c>
      <c r="O51" s="1">
        <v>1.8483519133578872</v>
      </c>
      <c r="P51" s="1">
        <v>1.9464717419172943</v>
      </c>
      <c r="Q51" s="1">
        <v>1.0174497191180909</v>
      </c>
      <c r="R51" s="1">
        <v>0.57716334401460223</v>
      </c>
      <c r="S51" s="1">
        <v>0.68853522527423028</v>
      </c>
      <c r="T51" s="1">
        <v>1.4950879191273314</v>
      </c>
      <c r="U51" s="1">
        <v>1.4603500156941334</v>
      </c>
      <c r="V51" s="1">
        <v>0.73018782565994234</v>
      </c>
      <c r="W51" s="1">
        <v>1.5263397839216253</v>
      </c>
      <c r="X51" s="1">
        <v>0.92106123985489929</v>
      </c>
      <c r="Y51" s="1">
        <v>1.0859935330013848</v>
      </c>
      <c r="Z51" s="1">
        <v>1.784662027579369</v>
      </c>
      <c r="AA51" s="1">
        <v>1.0768991551274785</v>
      </c>
      <c r="AB51" s="1">
        <v>1.1371682444892284</v>
      </c>
      <c r="AC51" s="1">
        <v>1.1701790580370486</v>
      </c>
      <c r="AD51" s="1">
        <v>0.2436513544844533</v>
      </c>
      <c r="AE51" s="1">
        <v>8.920503846042438E-2</v>
      </c>
      <c r="AF51" s="1">
        <v>1.0564710253265253</v>
      </c>
      <c r="AG51" s="1">
        <v>1.0783665140438945</v>
      </c>
      <c r="AH51" s="1">
        <v>1.1827485651023537</v>
      </c>
      <c r="AI51" s="1">
        <v>1.7639074477097823</v>
      </c>
      <c r="AJ51" s="1">
        <v>0.29356191660492026</v>
      </c>
      <c r="AK51" s="1">
        <v>0.62778553268795434</v>
      </c>
      <c r="AL51" s="1">
        <v>0.42508043847530186</v>
      </c>
      <c r="AM51" s="1">
        <v>1.2487960752619256</v>
      </c>
      <c r="AN51" s="1">
        <v>0.73776801688075122</v>
      </c>
      <c r="AO51" s="1">
        <v>0.90353555139310127</v>
      </c>
      <c r="AP51" s="1">
        <v>0.5947777436231183</v>
      </c>
      <c r="AQ51" s="1">
        <v>0.71988352580460435</v>
      </c>
      <c r="AR51" s="1">
        <v>1.1311559065482684</v>
      </c>
      <c r="AS51" s="1">
        <v>0.75740585759073853</v>
      </c>
      <c r="AT51" s="2">
        <v>0.31128126371703835</v>
      </c>
      <c r="AU51" s="2">
        <v>-0.29684336840413861</v>
      </c>
      <c r="AV51" s="2">
        <v>2.7295585932146484</v>
      </c>
      <c r="AW51" s="2">
        <v>2.5893220324837585</v>
      </c>
      <c r="AX51" s="2">
        <v>2.8299468469730686</v>
      </c>
      <c r="AY51" s="2">
        <v>1.5327745934427583</v>
      </c>
      <c r="AZ51" s="2">
        <v>0.56263570022718845</v>
      </c>
      <c r="BA51" s="2">
        <v>9.9733874727625405E-2</v>
      </c>
      <c r="BB51" s="2">
        <v>1.7775558009943111</v>
      </c>
      <c r="BC51" s="2">
        <v>1.372853201245932</v>
      </c>
      <c r="BD51" s="2">
        <v>2.8220826977584013</v>
      </c>
      <c r="BE51" s="2">
        <v>1.4841454594708909</v>
      </c>
      <c r="BF51" s="2">
        <v>2.6946278579805183</v>
      </c>
      <c r="BG51" s="2">
        <v>0.86600157156676838</v>
      </c>
      <c r="BH51" s="2">
        <v>1.4202761330946183</v>
      </c>
      <c r="BI51" s="2">
        <v>2.5702810194168784</v>
      </c>
      <c r="BJ51" s="2">
        <v>2.6697462439422286</v>
      </c>
      <c r="BK51" s="2">
        <v>1.0694260364726085</v>
      </c>
      <c r="BL51" s="2">
        <v>1.4150128006194684</v>
      </c>
      <c r="BM51" s="2">
        <v>2.9090336985623466E-2</v>
      </c>
      <c r="BN51" s="2">
        <v>1.0735345738267483</v>
      </c>
      <c r="BO51" s="2">
        <v>8.1524513396840415E-2</v>
      </c>
      <c r="BP51" s="2">
        <v>0.19285079121443838</v>
      </c>
      <c r="BQ51" s="2">
        <v>0.33428105133720853</v>
      </c>
      <c r="BR51" s="2">
        <v>1.6862974069159711</v>
      </c>
      <c r="BS51" s="2">
        <v>0.60811808140189494</v>
      </c>
      <c r="BT51" s="2">
        <v>0.72913690858730096</v>
      </c>
      <c r="BU51" s="2">
        <v>1.3285649656580309</v>
      </c>
      <c r="BV51" s="2">
        <v>0.87248106923043101</v>
      </c>
      <c r="BW51" s="2">
        <v>-0.14622263430179705</v>
      </c>
      <c r="BX51" s="2">
        <v>-7.9292011930473028E-2</v>
      </c>
      <c r="BY51" s="2">
        <v>1.018765027494321</v>
      </c>
      <c r="BZ51" s="2">
        <v>1.022986709898881</v>
      </c>
      <c r="CA51" s="2">
        <v>2.5012491613706613</v>
      </c>
      <c r="CB51" s="2">
        <v>2.3725929573079005</v>
      </c>
      <c r="CC51" s="2">
        <v>1.370950360997661</v>
      </c>
      <c r="CE51">
        <f t="shared" si="6"/>
        <v>1.2260410891789133</v>
      </c>
      <c r="CF51">
        <f t="shared" si="7"/>
        <v>1.2643702118982281</v>
      </c>
      <c r="CG51">
        <f t="shared" si="8"/>
        <v>0.97378209382049086</v>
      </c>
      <c r="CH51">
        <f t="shared" si="9"/>
        <v>0.84386530743919164</v>
      </c>
      <c r="CI51">
        <f t="shared" si="10"/>
        <v>-3.8329122719314719E-2</v>
      </c>
      <c r="CJ51">
        <f t="shared" si="11"/>
        <v>7.3726867241723851E-2</v>
      </c>
      <c r="CK51" t="s">
        <v>88</v>
      </c>
      <c r="CN51" t="s">
        <v>53</v>
      </c>
      <c r="CO51">
        <v>0.11532778374281227</v>
      </c>
      <c r="CP51">
        <v>0.18509001869660846</v>
      </c>
    </row>
    <row r="52" spans="1:94" x14ac:dyDescent="0.2">
      <c r="A52" t="s">
        <v>89</v>
      </c>
      <c r="B52" s="1">
        <v>2.7045808601695116</v>
      </c>
      <c r="C52" s="1">
        <v>2.2937776818208713</v>
      </c>
      <c r="D52" s="1">
        <v>2.678680403688821</v>
      </c>
      <c r="E52" s="1">
        <v>4.5303468807904315</v>
      </c>
      <c r="F52" s="1">
        <v>1.0424721836927433</v>
      </c>
      <c r="G52" s="1">
        <v>2.7073689171199713</v>
      </c>
      <c r="H52" s="1">
        <v>1.9356122060231193</v>
      </c>
      <c r="I52" s="1">
        <v>0.89543203005520233</v>
      </c>
      <c r="J52" s="1">
        <v>2.4506698270337015</v>
      </c>
      <c r="K52" s="1">
        <v>2.5931911580057712</v>
      </c>
      <c r="L52" s="1">
        <v>2.6208027099581113</v>
      </c>
      <c r="M52" s="1">
        <v>1.6670648108661683</v>
      </c>
      <c r="N52" s="1">
        <v>0.86859975981869531</v>
      </c>
      <c r="O52" s="1">
        <v>1.1341071102580207</v>
      </c>
      <c r="P52" s="1">
        <v>1.8675884443118533</v>
      </c>
      <c r="Q52" s="1">
        <v>1.8991097055510684</v>
      </c>
      <c r="R52" s="1">
        <v>1.1007022852818549</v>
      </c>
      <c r="S52" s="1">
        <v>1.5708902746441922</v>
      </c>
      <c r="T52" s="1">
        <v>1.7728707149790455</v>
      </c>
      <c r="U52" s="1">
        <v>2.3101645189898212</v>
      </c>
      <c r="V52" s="1">
        <v>2.0414077625938782</v>
      </c>
      <c r="W52" s="1">
        <v>1.7784145713837363</v>
      </c>
      <c r="X52" s="1">
        <v>2.1696812634150913</v>
      </c>
      <c r="Y52" s="1">
        <v>2.4052400844303614</v>
      </c>
      <c r="Z52" s="1">
        <v>1.1189940604422595</v>
      </c>
      <c r="AA52" s="1">
        <v>0.31738484162649327</v>
      </c>
      <c r="AB52" s="1">
        <v>1.4438409731224813</v>
      </c>
      <c r="AC52" s="1">
        <v>0.94715175181581124</v>
      </c>
      <c r="AD52" s="1">
        <v>0.46267906134664127</v>
      </c>
      <c r="AE52" s="1">
        <v>0.8159727666512363</v>
      </c>
      <c r="AF52" s="1">
        <v>0.67687073750913429</v>
      </c>
      <c r="AG52" s="1">
        <v>1.6777902270007683</v>
      </c>
      <c r="AH52" s="1">
        <v>2.4159654978214515</v>
      </c>
      <c r="AI52" s="1">
        <v>2.4173460050941911</v>
      </c>
      <c r="AJ52" s="1">
        <v>1.5167785171760064</v>
      </c>
      <c r="AK52" s="1">
        <v>1.2710892260773392</v>
      </c>
      <c r="AL52" s="1">
        <v>1.3808878915643703</v>
      </c>
      <c r="AM52" s="1">
        <v>2.4157317603947912</v>
      </c>
      <c r="AN52" s="1">
        <v>2.0056744650168845</v>
      </c>
      <c r="AO52" s="1">
        <v>1.8496078652884493</v>
      </c>
      <c r="AP52" s="1">
        <v>1.1932736258281622</v>
      </c>
      <c r="AQ52" s="1">
        <v>1.1665925687154792</v>
      </c>
      <c r="AR52" s="1">
        <v>1.4124919424159212</v>
      </c>
      <c r="AS52" s="1">
        <v>1.8402805457850211</v>
      </c>
      <c r="AT52" s="2">
        <v>1.8910447112491813</v>
      </c>
      <c r="AU52" s="2">
        <v>0.57848344872189028</v>
      </c>
      <c r="AV52" s="2">
        <v>2.0255162008932612</v>
      </c>
      <c r="AW52" s="2">
        <v>1.8581185616200515</v>
      </c>
      <c r="AX52" s="2">
        <v>2.7468644238872613</v>
      </c>
      <c r="AY52" s="2">
        <v>3.0097964422040913</v>
      </c>
      <c r="AZ52" s="2">
        <v>1.1859619120081113</v>
      </c>
      <c r="BA52" s="2">
        <v>1.8837164886291013</v>
      </c>
      <c r="BB52" s="2">
        <v>1.8302629866811979</v>
      </c>
      <c r="BC52" s="2">
        <v>1.9787312154438983</v>
      </c>
      <c r="BD52" s="2">
        <v>2.946887580582628</v>
      </c>
      <c r="BE52" s="2">
        <v>3.0587264915241881</v>
      </c>
      <c r="BF52" s="2">
        <v>1.8308110420556511</v>
      </c>
      <c r="BG52" s="2">
        <v>1.5861300061128414</v>
      </c>
      <c r="BH52" s="2">
        <v>1.0494585370966012</v>
      </c>
      <c r="BI52" s="2">
        <v>1.9842069283926711</v>
      </c>
      <c r="BJ52" s="2">
        <v>2.4533820057049311</v>
      </c>
      <c r="BK52" s="2">
        <v>1.7097750213566711</v>
      </c>
      <c r="BL52" s="2">
        <v>1.8106174716959811</v>
      </c>
      <c r="BM52" s="2">
        <v>1.8593271923640611</v>
      </c>
      <c r="BN52" s="2">
        <v>2.4946207206674114</v>
      </c>
      <c r="BO52" s="2">
        <v>9.8708150067056299E-2</v>
      </c>
      <c r="BP52" s="2">
        <v>0.75689406449267138</v>
      </c>
      <c r="BQ52" s="2">
        <v>1.7061745886452813</v>
      </c>
      <c r="BR52" s="2">
        <v>1.840267430059118</v>
      </c>
      <c r="BS52" s="2">
        <v>0.72452889637758333</v>
      </c>
      <c r="BT52" s="2">
        <v>1.3883014472263979</v>
      </c>
      <c r="BU52" s="2">
        <v>1.9313642305444279</v>
      </c>
      <c r="BV52" s="2">
        <v>0.81260551110395807</v>
      </c>
      <c r="BW52" s="2">
        <v>1.722859119426118</v>
      </c>
      <c r="BX52" s="2">
        <v>1.4237931816828779</v>
      </c>
      <c r="BY52" s="2">
        <v>2.4410134673650479</v>
      </c>
      <c r="BZ52" s="2">
        <v>2.4382985844639582</v>
      </c>
      <c r="CA52" s="2">
        <v>2.0042435814226378</v>
      </c>
      <c r="CB52" s="2">
        <v>2.1348462330997782</v>
      </c>
      <c r="CC52" s="2">
        <v>4.3999403134312285</v>
      </c>
      <c r="CE52">
        <f t="shared" si="6"/>
        <v>1.7587541021721578</v>
      </c>
      <c r="CF52">
        <f t="shared" si="7"/>
        <v>1.8776743941194391</v>
      </c>
      <c r="CG52">
        <f t="shared" si="8"/>
        <v>0.92087657368880893</v>
      </c>
      <c r="CH52">
        <f t="shared" si="9"/>
        <v>0.50727517405810441</v>
      </c>
      <c r="CI52">
        <f t="shared" si="10"/>
        <v>-0.11892029194728146</v>
      </c>
      <c r="CJ52">
        <f t="shared" si="11"/>
        <v>0.29475639144446802</v>
      </c>
      <c r="CK52" t="s">
        <v>89</v>
      </c>
      <c r="CN52" t="s">
        <v>54</v>
      </c>
      <c r="CO52">
        <v>0.13576568763998761</v>
      </c>
      <c r="CP52">
        <v>0.18445711011233559</v>
      </c>
    </row>
    <row r="53" spans="1:94" x14ac:dyDescent="0.2">
      <c r="A53" t="s">
        <v>90</v>
      </c>
      <c r="B53" s="1">
        <v>0.16956688630078398</v>
      </c>
      <c r="C53" s="1">
        <v>1.2696631435623229</v>
      </c>
      <c r="D53" s="1">
        <v>0.44449641128986167</v>
      </c>
      <c r="E53" s="1">
        <v>0.807986904664175</v>
      </c>
      <c r="F53" s="1">
        <v>0.99105429668602296</v>
      </c>
      <c r="G53" s="1">
        <v>0.30106122450772799</v>
      </c>
      <c r="H53" s="1">
        <v>0.31438715930104999</v>
      </c>
      <c r="I53" s="1">
        <v>0.19695366971525896</v>
      </c>
      <c r="J53" s="1">
        <v>0.34704020816672687</v>
      </c>
      <c r="K53" s="1">
        <v>0.75182156670862299</v>
      </c>
      <c r="L53" s="1">
        <v>-3.0289763442340023E-2</v>
      </c>
      <c r="M53" s="1">
        <v>0.10410018956546796</v>
      </c>
      <c r="N53" s="1">
        <v>0.75319822606078302</v>
      </c>
      <c r="O53" s="1">
        <v>0.4980891007165853</v>
      </c>
      <c r="P53" s="1">
        <v>3.9922220679409759E-3</v>
      </c>
      <c r="Q53" s="1">
        <v>0.84346047257756429</v>
      </c>
      <c r="R53" s="1">
        <v>-0.47292834325384403</v>
      </c>
      <c r="S53" s="1">
        <v>0.40809046366788276</v>
      </c>
      <c r="T53" s="1">
        <v>1.740798634003619</v>
      </c>
      <c r="U53" s="1">
        <v>2.0652329648356291</v>
      </c>
      <c r="V53" s="1">
        <v>0.10280344996081198</v>
      </c>
      <c r="W53" s="1">
        <v>0.82257975525054194</v>
      </c>
      <c r="X53" s="1">
        <v>0.91793733775724295</v>
      </c>
      <c r="Y53" s="1">
        <v>1.4240456212148298</v>
      </c>
      <c r="Z53" s="1">
        <v>0.95323531135445427</v>
      </c>
      <c r="AA53" s="1">
        <v>1.7385758002272047</v>
      </c>
      <c r="AB53" s="1">
        <v>1.6068593514777048</v>
      </c>
      <c r="AC53" s="1">
        <v>1.2904265880054249</v>
      </c>
      <c r="AD53" s="1">
        <v>2.1243963002219979E-2</v>
      </c>
      <c r="AE53" s="1">
        <v>-0.19486389175705698</v>
      </c>
      <c r="AF53" s="1">
        <v>0.52245187552235406</v>
      </c>
      <c r="AG53" s="1">
        <v>0.74531004126698197</v>
      </c>
      <c r="AH53" s="1">
        <v>1.0059070363816418</v>
      </c>
      <c r="AI53" s="1">
        <v>0.80385083077267894</v>
      </c>
      <c r="AJ53" s="1">
        <v>0.779136093440568</v>
      </c>
      <c r="AK53" s="1">
        <v>0.59679156850192894</v>
      </c>
      <c r="AL53" s="1">
        <v>0.61356485493611435</v>
      </c>
      <c r="AM53" s="1">
        <v>1.369560635907402</v>
      </c>
      <c r="AN53" s="1">
        <v>1.3850653685529708</v>
      </c>
      <c r="AO53" s="1">
        <v>1.5610893614981389</v>
      </c>
      <c r="AP53" s="1">
        <v>0.92753086143070096</v>
      </c>
      <c r="AQ53" s="1">
        <v>1.107962566208603</v>
      </c>
      <c r="AR53" s="1">
        <v>2.5299205883504552</v>
      </c>
      <c r="AS53" s="1">
        <v>1.6364591671327249</v>
      </c>
      <c r="AT53" s="2">
        <v>0.31012422095888981</v>
      </c>
      <c r="AU53" s="2">
        <v>0.76458567780103581</v>
      </c>
      <c r="AV53" s="2">
        <v>-0.25631370454456626</v>
      </c>
      <c r="AW53" s="2">
        <v>-2.6351880632216232E-2</v>
      </c>
      <c r="AX53" s="2">
        <v>0.70407467882528474</v>
      </c>
      <c r="AY53" s="2">
        <v>0.17418201645644449</v>
      </c>
      <c r="AZ53" s="2">
        <v>-0.14418121617631924</v>
      </c>
      <c r="BA53" s="2">
        <v>0.42226376779482977</v>
      </c>
      <c r="BB53" s="2">
        <v>1.992596620613363</v>
      </c>
      <c r="BC53" s="2">
        <v>1.2604411815768743</v>
      </c>
      <c r="BD53" s="2">
        <v>0.37699386298152793</v>
      </c>
      <c r="BE53" s="2">
        <v>1.4971044189125029</v>
      </c>
      <c r="BF53" s="2">
        <v>1.0359904290482798</v>
      </c>
      <c r="BG53" s="2">
        <v>1.2310080883395047</v>
      </c>
      <c r="BH53" s="2">
        <v>-0.48584144457401524</v>
      </c>
      <c r="BI53" s="2">
        <v>-0.64794445439335224</v>
      </c>
      <c r="BJ53" s="2">
        <v>-0.74961307178519421</v>
      </c>
      <c r="BK53" s="2">
        <v>1.9669207301681249</v>
      </c>
      <c r="BL53" s="2">
        <v>1.3992255579851747</v>
      </c>
      <c r="BM53" s="2">
        <v>1.0985606685777847</v>
      </c>
      <c r="BN53" s="2">
        <v>1.9940770371691547</v>
      </c>
      <c r="BO53" s="2">
        <v>-6.7148073392040236E-2</v>
      </c>
      <c r="BP53" s="2">
        <v>0.69010622209861971</v>
      </c>
      <c r="BQ53" s="2">
        <v>0.34532089094786078</v>
      </c>
      <c r="BR53" s="2">
        <v>0.99485320561226298</v>
      </c>
      <c r="BS53" s="2">
        <v>-2.4462595624829664E-2</v>
      </c>
      <c r="BT53" s="2">
        <v>0.87924633104318284</v>
      </c>
      <c r="BU53" s="2">
        <v>1.6466870332147729</v>
      </c>
      <c r="BV53" s="2">
        <v>0.78666949844833289</v>
      </c>
      <c r="BW53" s="2">
        <v>-0.23324446813439509</v>
      </c>
      <c r="BX53" s="2">
        <v>0.37426061009483491</v>
      </c>
      <c r="BY53" s="2">
        <v>0.66016266796406287</v>
      </c>
      <c r="BZ53" s="2">
        <v>0.69688327101280301</v>
      </c>
      <c r="CA53" s="2">
        <v>0.844688328986543</v>
      </c>
      <c r="CB53" s="2">
        <v>-0.61436414072440104</v>
      </c>
      <c r="CC53" s="2">
        <v>0.92134636485699284</v>
      </c>
      <c r="CE53">
        <f t="shared" si="6"/>
        <v>0.81307317668405654</v>
      </c>
      <c r="CF53">
        <f t="shared" si="7"/>
        <v>0.6060807869863255</v>
      </c>
      <c r="CG53">
        <f t="shared" si="8"/>
        <v>1.1542793286085702</v>
      </c>
      <c r="CH53">
        <f t="shared" si="9"/>
        <v>0.1943136997517351</v>
      </c>
      <c r="CI53">
        <f t="shared" si="10"/>
        <v>0.2069923896977309</v>
      </c>
      <c r="CJ53">
        <f t="shared" si="11"/>
        <v>0.7114965791385629</v>
      </c>
      <c r="CK53" t="s">
        <v>90</v>
      </c>
      <c r="CN53" t="s">
        <v>84</v>
      </c>
      <c r="CO53">
        <v>0.13063090540189226</v>
      </c>
      <c r="CP53">
        <v>0.1819197446311123</v>
      </c>
    </row>
    <row r="54" spans="1:94" x14ac:dyDescent="0.2">
      <c r="A54" t="s">
        <v>91</v>
      </c>
      <c r="B54" s="1">
        <v>-0.59456302313686005</v>
      </c>
      <c r="C54" s="1">
        <v>-0.25838866707097108</v>
      </c>
      <c r="D54" s="1">
        <v>0.74984832174683302</v>
      </c>
      <c r="E54" s="1">
        <v>-0.71220079063716601</v>
      </c>
      <c r="F54" s="1">
        <v>-1.9244278874053711</v>
      </c>
      <c r="G54" s="1">
        <v>-0.12220161306307004</v>
      </c>
      <c r="H54" s="1">
        <v>-0.14851065928617008</v>
      </c>
      <c r="I54" s="1">
        <v>-1.3048582830384112</v>
      </c>
      <c r="J54" s="1">
        <v>-4.8501200124382082E-2</v>
      </c>
      <c r="K54" s="1">
        <v>5.2170275636166941E-2</v>
      </c>
      <c r="L54" s="1">
        <v>-0.81370357891044109</v>
      </c>
      <c r="M54" s="1">
        <v>-0.67626648652903709</v>
      </c>
      <c r="N54" s="1">
        <v>1.9675596696102788</v>
      </c>
      <c r="O54" s="1">
        <v>0.58256475187569889</v>
      </c>
      <c r="P54" s="1">
        <v>-0.12382710044731504</v>
      </c>
      <c r="Q54" s="1">
        <v>-1.6301760059865167E-2</v>
      </c>
      <c r="R54" s="1">
        <v>-0.85875429204427112</v>
      </c>
      <c r="S54" s="1">
        <v>1.6186308310691389</v>
      </c>
      <c r="T54" s="1">
        <v>-3.2994011926614053E-2</v>
      </c>
      <c r="U54" s="1">
        <v>-0.22483197639240204</v>
      </c>
      <c r="V54" s="1">
        <v>1.1845988568284178</v>
      </c>
      <c r="W54" s="1">
        <v>1.0653599839308279</v>
      </c>
      <c r="X54" s="1">
        <v>8.8593783597555958E-2</v>
      </c>
      <c r="Y54" s="1">
        <v>0.21626899868672714</v>
      </c>
      <c r="Z54" s="1">
        <v>-1.1393409036957021</v>
      </c>
      <c r="AA54" s="1">
        <v>0.46554079377220925</v>
      </c>
      <c r="AB54" s="1">
        <v>0.62168828534040421</v>
      </c>
      <c r="AC54" s="1">
        <v>0.58565796148933624</v>
      </c>
      <c r="AD54" s="1">
        <v>-0.73961619584662108</v>
      </c>
      <c r="AE54" s="1">
        <v>-0.95804012856075105</v>
      </c>
      <c r="AF54" s="1">
        <v>-0.25567871732971204</v>
      </c>
      <c r="AG54" s="1">
        <v>0.35115895519101653</v>
      </c>
      <c r="AH54" s="1">
        <v>-0.288259749838499</v>
      </c>
      <c r="AI54" s="1">
        <v>0.727296921196116</v>
      </c>
      <c r="AJ54" s="1">
        <v>0.51440674029964195</v>
      </c>
      <c r="AK54" s="1">
        <v>1.2544816605601978</v>
      </c>
      <c r="AL54" s="1">
        <v>3.0821956149603769</v>
      </c>
      <c r="AM54" s="1">
        <v>0.77311604289880398</v>
      </c>
      <c r="AN54" s="1">
        <v>-0.31835058834360608</v>
      </c>
      <c r="AO54" s="1">
        <v>0.843759047712351</v>
      </c>
      <c r="AP54" s="1">
        <v>-0.49734889021287709</v>
      </c>
      <c r="AQ54" s="1">
        <v>-0.64927927323373202</v>
      </c>
      <c r="AR54" s="1">
        <v>0.93716813660865927</v>
      </c>
      <c r="AS54" s="1">
        <v>-0.92172158856913677</v>
      </c>
      <c r="AT54" s="2">
        <v>-1.3420239744945697</v>
      </c>
      <c r="AU54" s="2">
        <v>-0.25657545853520175</v>
      </c>
      <c r="AV54" s="2">
        <v>0.22045450696699526</v>
      </c>
      <c r="AW54" s="2">
        <v>-9.9517610391048061E-2</v>
      </c>
      <c r="AX54" s="2">
        <v>-1.1071195562227096</v>
      </c>
      <c r="AY54" s="2">
        <v>-0.75662817130216375</v>
      </c>
      <c r="AZ54" s="2">
        <v>-0.86432008645229275</v>
      </c>
      <c r="BA54" s="2">
        <v>-0.86998378725097469</v>
      </c>
      <c r="BB54" s="2">
        <v>0.93549215005985364</v>
      </c>
      <c r="BC54" s="2">
        <v>-1.116051466957237</v>
      </c>
      <c r="BD54" s="2">
        <v>-0.83294224558343333</v>
      </c>
      <c r="BE54" s="2">
        <v>0.46979171355271276</v>
      </c>
      <c r="BF54" s="2">
        <v>-1.4584063821362951E-2</v>
      </c>
      <c r="BG54" s="2">
        <v>0.22696672232573828</v>
      </c>
      <c r="BH54" s="2">
        <v>0.90479332987222827</v>
      </c>
      <c r="BI54" s="2">
        <v>-1.6432103965337697</v>
      </c>
      <c r="BJ54" s="2">
        <v>-1.5015043777237898</v>
      </c>
      <c r="BK54" s="2">
        <v>1.0032080978782403</v>
      </c>
      <c r="BL54" s="2">
        <v>3.6780545806378045E-2</v>
      </c>
      <c r="BM54" s="2">
        <v>-1.1998937705995096</v>
      </c>
      <c r="BN54" s="2">
        <v>-0.98720542172613779</v>
      </c>
      <c r="BO54" s="2">
        <v>-0.26501364392377275</v>
      </c>
      <c r="BP54" s="2">
        <v>0.75810413819416222</v>
      </c>
      <c r="BQ54" s="2">
        <v>0.19220953258653922</v>
      </c>
      <c r="BR54" s="2">
        <v>-0.28556274366842327</v>
      </c>
      <c r="BS54" s="2">
        <v>-0.17892732429779612</v>
      </c>
      <c r="BT54" s="2">
        <v>0.25965808855459172</v>
      </c>
      <c r="BU54" s="2">
        <v>0.33988559794041373</v>
      </c>
      <c r="BV54" s="2">
        <v>0.14549955808351372</v>
      </c>
      <c r="BW54" s="2">
        <v>-1.3876588686011533</v>
      </c>
      <c r="BX54" s="2">
        <v>-1.3601202342155931</v>
      </c>
      <c r="BY54" s="2">
        <v>-0.60951305200849626</v>
      </c>
      <c r="BZ54" s="2">
        <v>-0.51679534448321929</v>
      </c>
      <c r="CA54" s="2">
        <v>-1.0685876510380732</v>
      </c>
      <c r="CB54" s="2">
        <v>2.7365748325588766</v>
      </c>
      <c r="CC54" s="2">
        <v>1.9407776916890369</v>
      </c>
      <c r="CE54">
        <f t="shared" si="6"/>
        <v>9.2138596984267587E-2</v>
      </c>
      <c r="CF54">
        <f t="shared" si="7"/>
        <v>-0.22482063177115133</v>
      </c>
      <c r="CG54">
        <f t="shared" si="8"/>
        <v>1.2457022109380425</v>
      </c>
      <c r="CH54">
        <f t="shared" si="9"/>
        <v>0.14563236671092339</v>
      </c>
      <c r="CI54">
        <f t="shared" si="10"/>
        <v>0.31695922875541882</v>
      </c>
      <c r="CJ54">
        <f t="shared" si="11"/>
        <v>0.83674209259310073</v>
      </c>
      <c r="CK54" t="s">
        <v>91</v>
      </c>
      <c r="CN54" t="s">
        <v>113</v>
      </c>
      <c r="CO54">
        <v>-6.7637853895815545E-2</v>
      </c>
      <c r="CP54">
        <v>0.17447130786422632</v>
      </c>
    </row>
    <row r="55" spans="1:94" x14ac:dyDescent="0.2">
      <c r="A55" t="s">
        <v>92</v>
      </c>
      <c r="B55" s="1">
        <v>0.13276104669190469</v>
      </c>
      <c r="C55" s="1">
        <v>-0.53404485879286234</v>
      </c>
      <c r="D55" s="1">
        <v>6.2701000453533662E-2</v>
      </c>
      <c r="E55" s="1">
        <v>1.3371108650044408</v>
      </c>
      <c r="F55" s="1">
        <v>-1.0933830888011324</v>
      </c>
      <c r="G55" s="1">
        <v>-1.8433095405771316E-2</v>
      </c>
      <c r="H55" s="1">
        <v>-0.34044234285530228</v>
      </c>
      <c r="I55" s="1">
        <v>-0.92989478525289226</v>
      </c>
      <c r="J55" s="1">
        <v>-0.23273400477911221</v>
      </c>
      <c r="K55" s="1">
        <v>2.5915580874746178</v>
      </c>
      <c r="L55" s="1">
        <v>-0.10441591873261236</v>
      </c>
      <c r="M55" s="1">
        <v>-0.49695769347076224</v>
      </c>
      <c r="N55" s="1">
        <v>-1.1788981767112823</v>
      </c>
      <c r="O55" s="1">
        <v>-0.41282141128388239</v>
      </c>
      <c r="P55" s="1">
        <v>-1.649500811266924E-2</v>
      </c>
      <c r="Q55" s="1">
        <v>-0.38859237262171598</v>
      </c>
      <c r="R55" s="1">
        <v>-0.85356904845950221</v>
      </c>
      <c r="S55" s="1">
        <v>-1.1478263545309342E-2</v>
      </c>
      <c r="T55" s="1">
        <v>5.4946041201674678E-2</v>
      </c>
      <c r="U55" s="1">
        <v>0.20979839651220866</v>
      </c>
      <c r="V55" s="1">
        <v>-0.33466180796774236</v>
      </c>
      <c r="W55" s="1">
        <v>0.11630293401363367</v>
      </c>
      <c r="X55" s="1">
        <v>0.27534592898210675</v>
      </c>
      <c r="Y55" s="1">
        <v>0.38304299795703767</v>
      </c>
      <c r="Z55" s="1">
        <v>0.3913939975952031</v>
      </c>
      <c r="AA55" s="1">
        <v>-0.55462422316033499</v>
      </c>
      <c r="AB55" s="1">
        <v>-0.69772875626748276</v>
      </c>
      <c r="AC55" s="1">
        <v>-0.84170728062540678</v>
      </c>
      <c r="AD55" s="1">
        <v>-0.25446689891988239</v>
      </c>
      <c r="AE55" s="1">
        <v>-0.51013153009595236</v>
      </c>
      <c r="AF55" s="1">
        <v>-0.60280155073086239</v>
      </c>
      <c r="AG55" s="1">
        <v>-0.51329220046735236</v>
      </c>
      <c r="AH55" s="1">
        <v>-0.30522670655600237</v>
      </c>
      <c r="AI55" s="1">
        <v>-4.8637226693272195E-2</v>
      </c>
      <c r="AJ55" s="1">
        <v>-0.65832855322739237</v>
      </c>
      <c r="AK55" s="1">
        <v>-0.73206325670336225</v>
      </c>
      <c r="AL55" s="1">
        <v>-0.46321383096072388</v>
      </c>
      <c r="AM55" s="1">
        <v>0.50560345043395472</v>
      </c>
      <c r="AN55" s="1">
        <v>0.11749665371576667</v>
      </c>
      <c r="AO55" s="1">
        <v>0.28378825945023267</v>
      </c>
      <c r="AP55" s="1">
        <v>-0.38198922999006224</v>
      </c>
      <c r="AQ55" s="1">
        <v>-0.42296519070360228</v>
      </c>
      <c r="AR55" s="1">
        <v>-0.22510041277108783</v>
      </c>
      <c r="AS55" s="1">
        <v>-2.8788749304178296E-3</v>
      </c>
      <c r="AT55" s="2">
        <v>0.34374133739947821</v>
      </c>
      <c r="AU55" s="2">
        <v>-0.49102060043086382</v>
      </c>
      <c r="AV55" s="2">
        <v>-0.30095999585081079</v>
      </c>
      <c r="AW55" s="2">
        <v>1.694644879703076</v>
      </c>
      <c r="AX55" s="2">
        <v>1.4764964890958661</v>
      </c>
      <c r="AY55" s="2">
        <v>0.8822106854196361</v>
      </c>
      <c r="AZ55" s="2">
        <v>4.3233747371253184E-2</v>
      </c>
      <c r="BA55" s="2">
        <v>-0.88450055810214478</v>
      </c>
      <c r="BB55" s="2">
        <v>0.52082725077150549</v>
      </c>
      <c r="BC55" s="2">
        <v>0.13621958048133709</v>
      </c>
      <c r="BD55" s="2">
        <v>0.79562357416244844</v>
      </c>
      <c r="BE55" s="2">
        <v>0.4312879195414725</v>
      </c>
      <c r="BF55" s="2">
        <v>0.32578454251107114</v>
      </c>
      <c r="BG55" s="2">
        <v>-0.1486066532084408</v>
      </c>
      <c r="BH55" s="2">
        <v>-1.3563027318293999</v>
      </c>
      <c r="BI55" s="2">
        <v>-0.60694725554325346</v>
      </c>
      <c r="BJ55" s="2">
        <v>0.11619790544184017</v>
      </c>
      <c r="BK55" s="2">
        <v>0.65006490971140618</v>
      </c>
      <c r="BL55" s="2">
        <v>1.8408471761827063</v>
      </c>
      <c r="BM55" s="2">
        <v>-0.24969962688304181</v>
      </c>
      <c r="BN55" s="2">
        <v>0.81553211110471624</v>
      </c>
      <c r="BO55" s="2">
        <v>-0.54269980440280008</v>
      </c>
      <c r="BP55" s="2">
        <v>-7.8598865467226831E-2</v>
      </c>
      <c r="BQ55" s="2">
        <v>-0.30484063573829784</v>
      </c>
      <c r="BR55" s="2">
        <v>-4.0689980778805535E-2</v>
      </c>
      <c r="BS55" s="2">
        <v>-0.86330479634456792</v>
      </c>
      <c r="BT55" s="2">
        <v>5.4756907051604631E-3</v>
      </c>
      <c r="BU55" s="2">
        <v>-5.128278238612255E-2</v>
      </c>
      <c r="BV55" s="2">
        <v>5.302252488305248E-2</v>
      </c>
      <c r="BW55" s="2">
        <v>-0.35690220374167403</v>
      </c>
      <c r="BX55" s="2">
        <v>-0.32681319698025946</v>
      </c>
      <c r="BY55" s="2">
        <v>0.42278207616354246</v>
      </c>
      <c r="BZ55" s="2">
        <v>0.72378989680059846</v>
      </c>
      <c r="CA55" s="2">
        <v>0.93492320102502857</v>
      </c>
      <c r="CB55" s="2">
        <v>0.96595360973252853</v>
      </c>
      <c r="CC55" s="2">
        <v>0.72588753778508841</v>
      </c>
      <c r="CE55">
        <f t="shared" si="6"/>
        <v>-0.17500290772975988</v>
      </c>
      <c r="CF55">
        <f t="shared" si="7"/>
        <v>0.2028160266195862</v>
      </c>
      <c r="CG55">
        <f t="shared" si="8"/>
        <v>0.76960019280347003</v>
      </c>
      <c r="CH55">
        <f t="shared" si="9"/>
        <v>1.6104817158893569E-2</v>
      </c>
      <c r="CI55">
        <f t="shared" si="10"/>
        <v>-0.37781893434934605</v>
      </c>
      <c r="CJ55">
        <f t="shared" si="11"/>
        <v>1.7930442014456149</v>
      </c>
      <c r="CK55" t="s">
        <v>92</v>
      </c>
      <c r="CN55" t="s">
        <v>50</v>
      </c>
      <c r="CO55">
        <v>-0.12426984940051397</v>
      </c>
      <c r="CP55">
        <v>0.16528415462970519</v>
      </c>
    </row>
    <row r="56" spans="1:94" x14ac:dyDescent="0.2">
      <c r="A56" t="s">
        <v>93</v>
      </c>
      <c r="B56" s="1">
        <v>2.3209265176631466E-2</v>
      </c>
      <c r="C56" s="1">
        <v>-0.60903630878748849</v>
      </c>
      <c r="D56" s="1">
        <v>-0.7221972380164986</v>
      </c>
      <c r="E56" s="1">
        <v>-7.9529360261807569E-2</v>
      </c>
      <c r="F56" s="1">
        <v>-1.2755257768709383</v>
      </c>
      <c r="G56" s="1">
        <v>-0.39403802922161846</v>
      </c>
      <c r="H56" s="1">
        <v>-0.80591892829599854</v>
      </c>
      <c r="I56" s="1">
        <v>-1.6146482569429583</v>
      </c>
      <c r="J56" s="1">
        <v>0.35304475431295046</v>
      </c>
      <c r="K56" s="1">
        <v>0.29129697649563746</v>
      </c>
      <c r="L56" s="1">
        <v>-0.13950213471212847</v>
      </c>
      <c r="M56" s="1">
        <v>-0.91579575462543861</v>
      </c>
      <c r="N56" s="1">
        <v>-1.5057458721666284</v>
      </c>
      <c r="O56" s="1">
        <v>-1.4407469759602285</v>
      </c>
      <c r="P56" s="1">
        <v>-0.73469274919081851</v>
      </c>
      <c r="Q56" s="1">
        <v>-1.2808395275157496</v>
      </c>
      <c r="R56" s="1">
        <v>-0.79356351978511863</v>
      </c>
      <c r="S56" s="1">
        <v>-5.4688363290430586E-2</v>
      </c>
      <c r="T56" s="1">
        <v>-0.45053851546558865</v>
      </c>
      <c r="U56" s="1">
        <v>0.22202752963596339</v>
      </c>
      <c r="V56" s="1">
        <v>-0.40575775492647848</v>
      </c>
      <c r="W56" s="1">
        <v>-0.36868360377479859</v>
      </c>
      <c r="X56" s="1">
        <v>-2.1047723043738586E-2</v>
      </c>
      <c r="Y56" s="1">
        <v>2.7919299516780316</v>
      </c>
      <c r="Z56" s="1">
        <v>-0.21443797379591517</v>
      </c>
      <c r="AA56" s="1">
        <v>-0.65828927110508184</v>
      </c>
      <c r="AB56" s="1">
        <v>-1.2333272222875875</v>
      </c>
      <c r="AC56" s="1">
        <v>-1.2794759209173776</v>
      </c>
      <c r="AD56" s="1">
        <v>-0.99265147145793853</v>
      </c>
      <c r="AE56" s="1">
        <v>-0.66086120915476865</v>
      </c>
      <c r="AF56" s="1">
        <v>-1.1084126958055385</v>
      </c>
      <c r="AG56" s="1">
        <v>-0.65756833810701865</v>
      </c>
      <c r="AH56" s="1">
        <v>-1.0156884537181887</v>
      </c>
      <c r="AI56" s="1">
        <v>2.9981874657600383E-2</v>
      </c>
      <c r="AJ56" s="1">
        <v>-0.1929927326605686</v>
      </c>
      <c r="AK56" s="1">
        <v>-0.44938340720415859</v>
      </c>
      <c r="AL56" s="1">
        <v>-0.82848618369969951</v>
      </c>
      <c r="AM56" s="1">
        <v>-2.7446227121373568E-2</v>
      </c>
      <c r="AN56" s="1">
        <v>0.61300354334985041</v>
      </c>
      <c r="AO56" s="1">
        <v>-0.40867798493851859</v>
      </c>
      <c r="AP56" s="1">
        <v>-0.77418911266308854</v>
      </c>
      <c r="AQ56" s="1">
        <v>-0.47511625523046852</v>
      </c>
      <c r="AR56" s="1">
        <v>-1.0169597171341227</v>
      </c>
      <c r="AS56" s="1">
        <v>-0.77735471752548757</v>
      </c>
      <c r="AT56" s="2">
        <v>3.0036839084451836</v>
      </c>
      <c r="AU56" s="2">
        <v>-0.43280772904777559</v>
      </c>
      <c r="AV56" s="2">
        <v>-0.92504336282393251</v>
      </c>
      <c r="AW56" s="2">
        <v>-0.81657885684307463</v>
      </c>
      <c r="AX56" s="2">
        <v>1.4469880827004435</v>
      </c>
      <c r="AY56" s="2">
        <v>2.6507392235961036</v>
      </c>
      <c r="AZ56" s="2">
        <v>-0.34478725144579858</v>
      </c>
      <c r="BA56" s="2">
        <v>1.8945268158054933</v>
      </c>
      <c r="BB56" s="2">
        <v>-1.006714830333753</v>
      </c>
      <c r="BC56" s="2">
        <v>-0.17823849524054344</v>
      </c>
      <c r="BD56" s="2">
        <v>0.37140266164230301</v>
      </c>
      <c r="BE56" s="2">
        <v>0.76118946122054121</v>
      </c>
      <c r="BF56" s="2">
        <v>6.3081138060247399E-2</v>
      </c>
      <c r="BG56" s="2">
        <v>0.26601470340332145</v>
      </c>
      <c r="BH56" s="2">
        <v>-2.9437873085512365</v>
      </c>
      <c r="BI56" s="2">
        <v>-1.8653537334060566</v>
      </c>
      <c r="BJ56" s="2">
        <v>-1.2072155128577176</v>
      </c>
      <c r="BK56" s="2">
        <v>-1.4254291497007185</v>
      </c>
      <c r="BL56" s="2">
        <v>1.5481088684194035</v>
      </c>
      <c r="BM56" s="2">
        <v>-0.91781864500188659</v>
      </c>
      <c r="BN56" s="2">
        <v>1.2695008682403235</v>
      </c>
      <c r="BO56" s="2">
        <v>1.3753380814057836</v>
      </c>
      <c r="BP56" s="2">
        <v>-1.3768747656031697</v>
      </c>
      <c r="BQ56" s="2">
        <v>-1.0997527348586786</v>
      </c>
      <c r="BR56" s="2">
        <v>1.7857936860490087E-2</v>
      </c>
      <c r="BS56" s="2">
        <v>-0.9572822886479545</v>
      </c>
      <c r="BT56" s="2">
        <v>-0.15533047327307084</v>
      </c>
      <c r="BU56" s="2">
        <v>-5.0544942220275946E-2</v>
      </c>
      <c r="BV56" s="2">
        <v>-0.24021747506896993</v>
      </c>
      <c r="BW56" s="2">
        <v>-0.18730136057392294</v>
      </c>
      <c r="BX56" s="2">
        <v>-0.25207987962844636</v>
      </c>
      <c r="BY56" s="2">
        <v>-0.31600393163192042</v>
      </c>
      <c r="BZ56" s="2">
        <v>-0.25850416474053522</v>
      </c>
      <c r="CA56" s="2">
        <v>-4.0290568097358925E-2</v>
      </c>
      <c r="CB56" s="2">
        <v>-0.24498566443432787</v>
      </c>
      <c r="CC56" s="2">
        <v>1.0444840273056111</v>
      </c>
      <c r="CE56">
        <f t="shared" si="6"/>
        <v>-0.50134821345624281</v>
      </c>
      <c r="CF56">
        <f t="shared" si="7"/>
        <v>-4.2500759636829873E-2</v>
      </c>
      <c r="CG56">
        <f t="shared" si="8"/>
        <v>0.72756726849782394</v>
      </c>
      <c r="CH56">
        <f t="shared" si="9"/>
        <v>5.4416019225975047E-2</v>
      </c>
      <c r="CI56">
        <f t="shared" si="10"/>
        <v>-0.45884745381941289</v>
      </c>
      <c r="CJ56">
        <f t="shared" si="11"/>
        <v>1.2642732319687369</v>
      </c>
      <c r="CK56" t="s">
        <v>93</v>
      </c>
      <c r="CN56" t="s">
        <v>102</v>
      </c>
      <c r="CO56">
        <v>7.6831774012285636E-2</v>
      </c>
      <c r="CP56">
        <v>0.15685389349636472</v>
      </c>
    </row>
    <row r="57" spans="1:94" x14ac:dyDescent="0.2">
      <c r="A57" t="s">
        <v>94</v>
      </c>
      <c r="B57" s="1">
        <v>1.383058859862085</v>
      </c>
      <c r="C57" s="1">
        <v>1.664212925393916</v>
      </c>
      <c r="D57" s="1">
        <v>1.8918324315051001</v>
      </c>
      <c r="E57" s="1">
        <v>2.1060749232280331</v>
      </c>
      <c r="F57" s="1">
        <v>1.778760717017861</v>
      </c>
      <c r="G57" s="1">
        <v>1.1926145018656222</v>
      </c>
      <c r="H57" s="1">
        <v>1.3378763298604861</v>
      </c>
      <c r="I57" s="1">
        <v>6.5232472777773109E-2</v>
      </c>
      <c r="J57" s="1">
        <v>1.9997058364795071</v>
      </c>
      <c r="K57" s="1">
        <v>1.5007581948369311</v>
      </c>
      <c r="L57" s="1">
        <v>1.8723685785005431</v>
      </c>
      <c r="M57" s="1">
        <v>1.4517259115184571</v>
      </c>
      <c r="N57" s="1">
        <v>2.871420731832623</v>
      </c>
      <c r="O57" s="1">
        <v>0.45670830855672306</v>
      </c>
      <c r="P57" s="1">
        <v>1.45671658736871</v>
      </c>
      <c r="Q57" s="1">
        <v>0.8533089636893556</v>
      </c>
      <c r="R57" s="1">
        <v>0.62108222556728199</v>
      </c>
      <c r="S57" s="1">
        <v>1.093028069412489</v>
      </c>
      <c r="T57" s="1">
        <v>2.1190188280945379</v>
      </c>
      <c r="U57" s="1">
        <v>2.565620034737143</v>
      </c>
      <c r="V57" s="1">
        <v>1.680530535197112</v>
      </c>
      <c r="W57" s="1">
        <v>1.579403121516088</v>
      </c>
      <c r="X57" s="1">
        <v>1.90624986802136</v>
      </c>
      <c r="Y57" s="1">
        <v>2.2465762091385231</v>
      </c>
      <c r="Z57" s="1">
        <v>1.8097497248342616</v>
      </c>
      <c r="AA57" s="1">
        <v>0.79769914512821694</v>
      </c>
      <c r="AB57" s="1">
        <v>1.062444589478067</v>
      </c>
      <c r="AC57" s="1">
        <v>0.12141459841029001</v>
      </c>
      <c r="AD57" s="1">
        <v>0.20463184609780294</v>
      </c>
      <c r="AE57" s="1">
        <v>0.461933424780539</v>
      </c>
      <c r="AF57" s="1">
        <v>0.46996414085457905</v>
      </c>
      <c r="AG57" s="1">
        <v>1.8027519564301722</v>
      </c>
      <c r="AH57" s="1">
        <v>1.084964348110641</v>
      </c>
      <c r="AI57" s="1">
        <v>1.5018181710208049</v>
      </c>
      <c r="AJ57" s="1">
        <v>1.5186144281756211</v>
      </c>
      <c r="AK57" s="1">
        <v>0.99458506726859497</v>
      </c>
      <c r="AL57" s="1">
        <v>1.5759723822675415</v>
      </c>
      <c r="AM57" s="1">
        <v>2.2454718727829301</v>
      </c>
      <c r="AN57" s="1">
        <v>1.832969835117531</v>
      </c>
      <c r="AO57" s="1">
        <v>1.726985402690647</v>
      </c>
      <c r="AP57" s="1">
        <v>1.2909376767604872</v>
      </c>
      <c r="AQ57" s="1">
        <v>1.184321584521733</v>
      </c>
      <c r="AR57" s="1">
        <v>1.5962918321212369</v>
      </c>
      <c r="AS57" s="1">
        <v>1.904787430637507</v>
      </c>
      <c r="AT57" s="2">
        <v>0.23610173321774297</v>
      </c>
      <c r="AU57" s="2">
        <v>9.7327544112603026E-2</v>
      </c>
      <c r="AV57" s="2">
        <v>0.72539813389904695</v>
      </c>
      <c r="AW57" s="2">
        <v>0.8651886660740371</v>
      </c>
      <c r="AX57" s="2">
        <v>2.5906642098111972</v>
      </c>
      <c r="AY57" s="2">
        <v>1.7471724627449172</v>
      </c>
      <c r="AZ57" s="2">
        <v>1.2869181857847671</v>
      </c>
      <c r="BA57" s="2">
        <v>1.0593338443460871</v>
      </c>
      <c r="BB57" s="2">
        <v>2.2054182545023382</v>
      </c>
      <c r="BC57" s="2">
        <v>1.3921164250044116</v>
      </c>
      <c r="BD57" s="2">
        <v>1.644259989896238</v>
      </c>
      <c r="BE57" s="2">
        <v>2.4093763361478979</v>
      </c>
      <c r="BF57" s="2">
        <v>1.368729962067657</v>
      </c>
      <c r="BG57" s="2">
        <v>2.160705631832367</v>
      </c>
      <c r="BH57" s="2">
        <v>0.66276715232032712</v>
      </c>
      <c r="BI57" s="2">
        <v>0.33164214241072598</v>
      </c>
      <c r="BJ57" s="2">
        <v>0.8475432689399871</v>
      </c>
      <c r="BK57" s="2">
        <v>1.991899306921497</v>
      </c>
      <c r="BL57" s="2">
        <v>1.6441571844152272</v>
      </c>
      <c r="BM57" s="2">
        <v>1.9653339120485469</v>
      </c>
      <c r="BN57" s="2">
        <v>2.3337793928713566</v>
      </c>
      <c r="BO57" s="2">
        <v>-0.14955338371951199</v>
      </c>
      <c r="BP57" s="2">
        <v>1.4486494453229171</v>
      </c>
      <c r="BQ57" s="2">
        <v>1.9201241440860268</v>
      </c>
      <c r="BR57" s="2">
        <v>1.1277753311418679</v>
      </c>
      <c r="BS57" s="2">
        <v>0.51562950936812157</v>
      </c>
      <c r="BT57" s="2">
        <v>1.5756648693404778</v>
      </c>
      <c r="BU57" s="2">
        <v>1.4510397647872979</v>
      </c>
      <c r="BV57" s="2">
        <v>0.80525386620986783</v>
      </c>
      <c r="BW57" s="2">
        <v>1.2305214745666579</v>
      </c>
      <c r="BX57" s="2">
        <v>1.7986974810689877</v>
      </c>
      <c r="BY57" s="2">
        <v>2.865005641658068</v>
      </c>
      <c r="BZ57" s="2">
        <v>2.5408332161588083</v>
      </c>
      <c r="CA57" s="2">
        <v>2.1154334919463178</v>
      </c>
      <c r="CB57" s="2">
        <v>-0.10940301429714505</v>
      </c>
      <c r="CC57" s="2">
        <v>3.4739141264167372</v>
      </c>
      <c r="CE57">
        <f t="shared" si="6"/>
        <v>1.4291407868969881</v>
      </c>
      <c r="CF57">
        <f t="shared" si="7"/>
        <v>1.4493172139840129</v>
      </c>
      <c r="CG57">
        <f t="shared" si="8"/>
        <v>0.98611210553129691</v>
      </c>
      <c r="CH57">
        <f t="shared" si="9"/>
        <v>0.90747704199736923</v>
      </c>
      <c r="CI57">
        <f t="shared" si="10"/>
        <v>-2.0176427087024641E-2</v>
      </c>
      <c r="CJ57">
        <f t="shared" si="11"/>
        <v>4.2164353244993499E-2</v>
      </c>
      <c r="CK57" t="s">
        <v>94</v>
      </c>
      <c r="CN57" t="s">
        <v>100</v>
      </c>
      <c r="CO57">
        <v>-7.1516953395526023E-2</v>
      </c>
      <c r="CP57">
        <v>0.155618285668706</v>
      </c>
    </row>
    <row r="58" spans="1:94" x14ac:dyDescent="0.2">
      <c r="A58" t="s">
        <v>95</v>
      </c>
      <c r="B58" s="1">
        <v>0.74716762599550157</v>
      </c>
      <c r="C58" s="1">
        <v>-0.46637093335084145</v>
      </c>
      <c r="D58" s="1">
        <v>-3.7534194914855434E-2</v>
      </c>
      <c r="E58" s="1">
        <v>-1.1274932410206875</v>
      </c>
      <c r="F58" s="1">
        <v>-0.98399932190687744</v>
      </c>
      <c r="G58" s="1">
        <v>-0.90749370514573746</v>
      </c>
      <c r="H58" s="1">
        <v>-0.61070571756213754</v>
      </c>
      <c r="I58" s="1">
        <v>-1.8937006358680877</v>
      </c>
      <c r="J58" s="1">
        <v>-0.43104096505616951</v>
      </c>
      <c r="K58" s="1">
        <v>-1.1160565275260075</v>
      </c>
      <c r="L58" s="1">
        <v>-0.64740933572194748</v>
      </c>
      <c r="M58" s="1">
        <v>-1.1786242390871575</v>
      </c>
      <c r="N58" s="1">
        <v>-6.996136966611044E-2</v>
      </c>
      <c r="O58" s="1">
        <v>-1.1482822867088074</v>
      </c>
      <c r="P58" s="1">
        <v>-1.0027994812799974</v>
      </c>
      <c r="Q58" s="1">
        <v>-0.67592927043614215</v>
      </c>
      <c r="R58" s="1">
        <v>-0.33064750207464544</v>
      </c>
      <c r="S58" s="1">
        <v>0.45285265759672494</v>
      </c>
      <c r="T58" s="1">
        <v>0.35679443185920656</v>
      </c>
      <c r="U58" s="1">
        <v>-9.8687632749447474E-2</v>
      </c>
      <c r="V58" s="1">
        <v>0.17561035930548152</v>
      </c>
      <c r="W58" s="1">
        <v>0.47194692920593745</v>
      </c>
      <c r="X58" s="1">
        <v>-0.57767505558325749</v>
      </c>
      <c r="Y58" s="1">
        <v>0.33105386387437852</v>
      </c>
      <c r="Z58" s="1">
        <v>-2.0250861440445371</v>
      </c>
      <c r="AA58" s="1">
        <v>-0.16633124980674402</v>
      </c>
      <c r="AB58" s="1">
        <v>-0.37163402832755121</v>
      </c>
      <c r="AC58" s="1">
        <v>-0.37929816367640223</v>
      </c>
      <c r="AD58" s="1">
        <v>-1.6273002759553876</v>
      </c>
      <c r="AE58" s="1">
        <v>-1.1263839282933574</v>
      </c>
      <c r="AF58" s="1">
        <v>-1.3124766355842674</v>
      </c>
      <c r="AG58" s="1">
        <v>-0.61690739784182758</v>
      </c>
      <c r="AH58" s="1">
        <v>-0.75308846585113742</v>
      </c>
      <c r="AI58" s="1">
        <v>-0.14101523452010645</v>
      </c>
      <c r="AJ58" s="1">
        <v>0.51229700671736678</v>
      </c>
      <c r="AK58" s="1">
        <v>-0.64640979125486742</v>
      </c>
      <c r="AL58" s="1">
        <v>9.6420476958858914E-2</v>
      </c>
      <c r="AM58" s="1">
        <v>-0.28160189363221544</v>
      </c>
      <c r="AN58" s="1">
        <v>-0.44749617576016543</v>
      </c>
      <c r="AO58" s="1">
        <v>-9.6937089614807515E-2</v>
      </c>
      <c r="AP58" s="1">
        <v>-0.53692621220152748</v>
      </c>
      <c r="AQ58" s="1">
        <v>-0.53885541721972752</v>
      </c>
      <c r="AR58" s="1">
        <v>-1.3024525563160012</v>
      </c>
      <c r="AS58" s="1">
        <v>-1.2154974665164702</v>
      </c>
      <c r="AT58" s="2">
        <v>-1.6082899701473012</v>
      </c>
      <c r="AU58" s="2">
        <v>-0.32869366110438963</v>
      </c>
      <c r="AV58" s="2">
        <v>-0.79007255859704029</v>
      </c>
      <c r="AW58" s="2">
        <v>-1.0839424358485832</v>
      </c>
      <c r="AX58" s="2">
        <v>-0.55774123858096414</v>
      </c>
      <c r="AY58" s="2">
        <v>-0.97884162559809029</v>
      </c>
      <c r="AZ58" s="2">
        <v>-1.2060230632137943</v>
      </c>
      <c r="BA58" s="2">
        <v>-1.3774641644350112</v>
      </c>
      <c r="BB58" s="2">
        <v>-0.46478951857767747</v>
      </c>
      <c r="BC58" s="2">
        <v>-1.1141631311902311</v>
      </c>
      <c r="BD58" s="2">
        <v>-0.32527293077753033</v>
      </c>
      <c r="BE58" s="2">
        <v>0.67164581417504654</v>
      </c>
      <c r="BF58" s="2">
        <v>-0.48372144748176721</v>
      </c>
      <c r="BG58" s="2">
        <v>-0.3510843327244072</v>
      </c>
      <c r="BH58" s="2">
        <v>-0.42403576776016522</v>
      </c>
      <c r="BI58" s="2">
        <v>-1.6729899770034711</v>
      </c>
      <c r="BJ58" s="2">
        <v>-1.7263283614996812</v>
      </c>
      <c r="BK58" s="2">
        <v>-0.27015109938330689</v>
      </c>
      <c r="BL58" s="2">
        <v>-0.98215542753410423</v>
      </c>
      <c r="BM58" s="2">
        <v>1.6104133854306688</v>
      </c>
      <c r="BN58" s="2">
        <v>-1.4386818581492111</v>
      </c>
      <c r="BO58" s="2">
        <v>-0.63856845858134315</v>
      </c>
      <c r="BP58" s="2">
        <v>-0.70999560176178522</v>
      </c>
      <c r="BQ58" s="2">
        <v>-0.40887271174530621</v>
      </c>
      <c r="BR58" s="2">
        <v>-0.48934710461243047</v>
      </c>
      <c r="BS58" s="2">
        <v>-0.70276450572524907</v>
      </c>
      <c r="BT58" s="2">
        <v>-0.91052342212097448</v>
      </c>
      <c r="BU58" s="2">
        <v>-0.81951485710213745</v>
      </c>
      <c r="BV58" s="2">
        <v>-0.9572533015660124</v>
      </c>
      <c r="BW58" s="2">
        <v>-0.65372128184510747</v>
      </c>
      <c r="BX58" s="2">
        <v>-0.32522091572971923</v>
      </c>
      <c r="BY58" s="2">
        <v>-1.0261703968129654</v>
      </c>
      <c r="BZ58" s="2">
        <v>0.23028574619758557</v>
      </c>
      <c r="CA58" s="2">
        <v>-3.5083486512975437E-2</v>
      </c>
      <c r="CB58" s="2">
        <v>0.56847585476900753</v>
      </c>
      <c r="CC58" s="2">
        <v>1.7333709106768946</v>
      </c>
      <c r="CE58">
        <f t="shared" si="6"/>
        <v>-0.53968104978551279</v>
      </c>
      <c r="CF58">
        <f t="shared" si="7"/>
        <v>-0.55686908062426477</v>
      </c>
      <c r="CG58">
        <f t="shared" si="8"/>
        <v>1.0119850875308578</v>
      </c>
      <c r="CH58">
        <f t="shared" si="9"/>
        <v>0.91586410976124499</v>
      </c>
      <c r="CI58">
        <f t="shared" si="10"/>
        <v>1.7188030838751964E-2</v>
      </c>
      <c r="CJ58">
        <f t="shared" si="11"/>
        <v>3.8168959475011678E-2</v>
      </c>
      <c r="CK58" t="s">
        <v>95</v>
      </c>
      <c r="CN58" t="s">
        <v>74</v>
      </c>
      <c r="CO58">
        <v>5.1517550053358369E-2</v>
      </c>
      <c r="CP58">
        <v>0.1411334368755435</v>
      </c>
    </row>
    <row r="59" spans="1:94" x14ac:dyDescent="0.2">
      <c r="A59" t="s">
        <v>96</v>
      </c>
      <c r="B59" s="1">
        <v>0.97969546548942965</v>
      </c>
      <c r="C59" s="1">
        <v>1.0386177944628736</v>
      </c>
      <c r="D59" s="1">
        <v>3.8237026125728595</v>
      </c>
      <c r="E59" s="1">
        <v>2.4474239608887798</v>
      </c>
      <c r="F59" s="1">
        <v>0.32666968045333666</v>
      </c>
      <c r="G59" s="1">
        <v>0.79746482813165664</v>
      </c>
      <c r="H59" s="1">
        <v>1.0860533545035977</v>
      </c>
      <c r="I59" s="1">
        <v>1.4753929970349897</v>
      </c>
      <c r="J59" s="1">
        <v>1.4183695057441896</v>
      </c>
      <c r="K59" s="1">
        <v>1.9418307817676097</v>
      </c>
      <c r="L59" s="1">
        <v>2.7706770841139097</v>
      </c>
      <c r="M59" s="1">
        <v>3.7011055462207696</v>
      </c>
      <c r="N59" s="1">
        <v>0.20730828800540363</v>
      </c>
      <c r="O59" s="1">
        <v>0.52296908196299663</v>
      </c>
      <c r="P59" s="1">
        <v>1.9460429856007597</v>
      </c>
      <c r="Q59" s="1">
        <v>1.9190717335900569</v>
      </c>
      <c r="R59" s="1">
        <v>1.0231604336427527</v>
      </c>
      <c r="S59" s="1">
        <v>1.7986745661463897</v>
      </c>
      <c r="T59" s="1">
        <v>1.5364008436456595</v>
      </c>
      <c r="U59" s="1">
        <v>1.6131769284801596</v>
      </c>
      <c r="V59" s="1">
        <v>1.0913227257337896</v>
      </c>
      <c r="W59" s="1">
        <v>0.37011610441719661</v>
      </c>
      <c r="X59" s="1">
        <v>0.95169441948474265</v>
      </c>
      <c r="Y59" s="1">
        <v>1.1474640567925996</v>
      </c>
      <c r="Z59" s="1">
        <v>0.96479880383305194</v>
      </c>
      <c r="AA59" s="1" t="s">
        <v>67</v>
      </c>
      <c r="AB59" s="1">
        <v>2.2780456436471619</v>
      </c>
      <c r="AC59" s="1">
        <v>1.8192111854831821</v>
      </c>
      <c r="AD59" s="1" t="s">
        <v>67</v>
      </c>
      <c r="AE59" s="1" t="s">
        <v>67</v>
      </c>
      <c r="AF59" s="1">
        <v>0.67065506593668167</v>
      </c>
      <c r="AG59" s="1">
        <v>1.1311001895839097</v>
      </c>
      <c r="AH59" s="1">
        <v>1.1176196777701997</v>
      </c>
      <c r="AI59" s="1">
        <v>0.3220877744202516</v>
      </c>
      <c r="AJ59" s="1">
        <v>0.5248376288097687</v>
      </c>
      <c r="AK59" s="1">
        <v>0.32776166683011765</v>
      </c>
      <c r="AL59" s="1" t="s">
        <v>67</v>
      </c>
      <c r="AM59" s="1">
        <v>-0.40948997969577239</v>
      </c>
      <c r="AN59" s="1">
        <v>0.87221841903783859</v>
      </c>
      <c r="AO59" s="1">
        <v>0.98258504578657269</v>
      </c>
      <c r="AP59" s="1">
        <v>0.20344428701527562</v>
      </c>
      <c r="AQ59" s="1">
        <v>5.2960341795651338E-2</v>
      </c>
      <c r="AR59" s="1">
        <v>0.60273256403083209</v>
      </c>
      <c r="AS59" s="1">
        <v>1.1441833737754024</v>
      </c>
      <c r="AT59" s="2">
        <v>1.1275714448737022</v>
      </c>
      <c r="AU59" s="2">
        <v>0.55383915026853203</v>
      </c>
      <c r="AV59" s="2" t="s">
        <v>67</v>
      </c>
      <c r="AW59" s="2" t="s">
        <v>67</v>
      </c>
      <c r="AX59" s="2">
        <v>2.1928759764058219</v>
      </c>
      <c r="AY59" s="2">
        <v>1.4496103198849422</v>
      </c>
      <c r="AZ59" s="2">
        <v>0.61390047022598204</v>
      </c>
      <c r="BA59" s="2">
        <v>0.43434046121156222</v>
      </c>
      <c r="BB59" s="2" t="s">
        <v>67</v>
      </c>
      <c r="BC59" s="2">
        <v>2.084003367931647</v>
      </c>
      <c r="BD59" s="2">
        <v>-9.0253903554334158E-2</v>
      </c>
      <c r="BE59" s="2">
        <v>0.90669654672574607</v>
      </c>
      <c r="BF59" s="2">
        <v>1.5014996528827422</v>
      </c>
      <c r="BG59" s="2">
        <v>1.6245038295108423</v>
      </c>
      <c r="BH59" s="2">
        <v>1.583841889032932</v>
      </c>
      <c r="BI59" s="2">
        <v>1.7477067224376823</v>
      </c>
      <c r="BJ59" s="2">
        <v>2.2675382806595321</v>
      </c>
      <c r="BK59" s="2">
        <v>2.7212251712775419</v>
      </c>
      <c r="BL59" s="2">
        <v>0.20672062983403205</v>
      </c>
      <c r="BM59" s="2">
        <v>-3.0079804979179503E-3</v>
      </c>
      <c r="BN59" s="2">
        <v>1.6317037302991422</v>
      </c>
      <c r="BO59" s="2">
        <v>0.48856748409710216</v>
      </c>
      <c r="BP59" s="2">
        <v>0.21398287485607215</v>
      </c>
      <c r="BQ59" s="2">
        <v>1.0542983075714421</v>
      </c>
      <c r="BR59" s="2">
        <v>1.518305806242485</v>
      </c>
      <c r="BS59" s="2">
        <v>2.111798313594587</v>
      </c>
      <c r="BT59" s="2" t="s">
        <v>67</v>
      </c>
      <c r="BU59" s="2">
        <v>-9.3386968574014073E-2</v>
      </c>
      <c r="BV59" s="2">
        <v>2.0156763300528659</v>
      </c>
      <c r="BW59" s="2" t="s">
        <v>67</v>
      </c>
      <c r="BX59" s="2">
        <v>1.0715931209273519</v>
      </c>
      <c r="BY59" s="2">
        <v>-0.80601057610753402</v>
      </c>
      <c r="BZ59" s="2" t="s">
        <v>67</v>
      </c>
      <c r="CA59" s="2">
        <v>1.7747250042050819</v>
      </c>
      <c r="CB59" s="2">
        <v>-0.57229467334113404</v>
      </c>
      <c r="CC59" s="2">
        <v>-0.56420870919547417</v>
      </c>
      <c r="CE59">
        <f t="shared" si="6"/>
        <v>1.2134789366736662</v>
      </c>
      <c r="CF59">
        <f t="shared" si="7"/>
        <v>1.0255787357912989</v>
      </c>
      <c r="CG59">
        <f t="shared" si="8"/>
        <v>1.1391045763941683</v>
      </c>
      <c r="CH59">
        <f t="shared" si="9"/>
        <v>0.40723514261990701</v>
      </c>
      <c r="CI59">
        <f t="shared" si="10"/>
        <v>0.18790020088236747</v>
      </c>
      <c r="CJ59">
        <f t="shared" si="11"/>
        <v>0.39015475133103833</v>
      </c>
      <c r="CK59" t="s">
        <v>96</v>
      </c>
      <c r="CN59" t="s">
        <v>86</v>
      </c>
      <c r="CO59">
        <v>3.3257041784676436E-2</v>
      </c>
      <c r="CP59">
        <v>0.10683309707435117</v>
      </c>
    </row>
    <row r="60" spans="1:94" x14ac:dyDescent="0.2">
      <c r="A60" t="s">
        <v>97</v>
      </c>
      <c r="B60" s="1">
        <v>3.8100012722186216</v>
      </c>
      <c r="C60" s="1">
        <v>2.3758683841110821</v>
      </c>
      <c r="D60" s="1">
        <v>5.033222701112952</v>
      </c>
      <c r="E60" s="1">
        <v>8.5879861665994124</v>
      </c>
      <c r="F60" s="1">
        <v>1.582270203857568</v>
      </c>
      <c r="G60" s="1">
        <v>3.5511289588497821</v>
      </c>
      <c r="H60" s="1">
        <v>3.4993667884262223</v>
      </c>
      <c r="I60" s="1">
        <v>2.1881878166108821</v>
      </c>
      <c r="J60" s="1">
        <v>4.2657393653676623</v>
      </c>
      <c r="K60" s="1">
        <v>3.3449526418166116</v>
      </c>
      <c r="L60" s="1">
        <v>3.753193500198492</v>
      </c>
      <c r="M60" s="1">
        <v>5.129282289520722</v>
      </c>
      <c r="N60" s="1">
        <v>1.7873370044275667</v>
      </c>
      <c r="O60" s="1">
        <v>2.1803968098997322</v>
      </c>
      <c r="P60" s="1">
        <v>3.7970416773806717</v>
      </c>
      <c r="Q60" s="1">
        <v>2.6700387500020666</v>
      </c>
      <c r="R60" s="1">
        <v>2.1023531989214321</v>
      </c>
      <c r="S60" s="1">
        <v>1.982281086494452</v>
      </c>
      <c r="T60" s="1">
        <v>2.4523868400529718</v>
      </c>
      <c r="U60" s="1">
        <v>3.5368201664371517</v>
      </c>
      <c r="V60" s="1">
        <v>2.1272275848441922</v>
      </c>
      <c r="W60" s="1">
        <v>1.978480313704313</v>
      </c>
      <c r="X60" s="1">
        <v>2.270352730785242</v>
      </c>
      <c r="Y60" s="1">
        <v>2.687319571868422</v>
      </c>
      <c r="Z60" s="1">
        <v>1.1232378985064668</v>
      </c>
      <c r="AA60" s="1">
        <v>0.73425978276105219</v>
      </c>
      <c r="AB60" s="1">
        <v>2.0539469669546722</v>
      </c>
      <c r="AC60" s="1">
        <v>2.5321088701865921</v>
      </c>
      <c r="AD60" s="1">
        <v>0.72665277764148084</v>
      </c>
      <c r="AE60" s="1">
        <v>1.284684082341977</v>
      </c>
      <c r="AF60" s="1">
        <v>0.76100080118574587</v>
      </c>
      <c r="AG60" s="1">
        <v>2.310880701181012</v>
      </c>
      <c r="AH60" s="1">
        <v>2.5681007369541717</v>
      </c>
      <c r="AI60" s="1">
        <v>2.611659976003712</v>
      </c>
      <c r="AJ60" s="1">
        <v>1.744993421001265</v>
      </c>
      <c r="AK60" s="1">
        <v>1.4407013550257859</v>
      </c>
      <c r="AL60" s="1">
        <v>2.1367399751527718</v>
      </c>
      <c r="AM60" s="1">
        <v>2.411618983466052</v>
      </c>
      <c r="AN60" s="1">
        <v>1.7889567505966879</v>
      </c>
      <c r="AO60" s="1">
        <v>1.7287461788507699</v>
      </c>
      <c r="AP60" s="1">
        <v>0.91984578506978087</v>
      </c>
      <c r="AQ60" s="1">
        <v>1.1076643047548684</v>
      </c>
      <c r="AR60" s="1">
        <v>1.2091236706486721</v>
      </c>
      <c r="AS60" s="1">
        <v>1.6586548609043024</v>
      </c>
      <c r="AT60" s="2">
        <v>0.65386724827941212</v>
      </c>
      <c r="AU60" s="2">
        <v>0.28870942682480616</v>
      </c>
      <c r="AV60" s="2">
        <v>6.1184216761814021</v>
      </c>
      <c r="AW60" s="2">
        <v>4.0247215651725519</v>
      </c>
      <c r="AX60" s="2">
        <v>1.4559971963702023</v>
      </c>
      <c r="AY60" s="2">
        <v>1.0659910413104021</v>
      </c>
      <c r="AZ60" s="2">
        <v>0.52843270231599226</v>
      </c>
      <c r="BA60" s="2">
        <v>0.38650523110376223</v>
      </c>
      <c r="BB60" s="2">
        <v>1.3775462623351702</v>
      </c>
      <c r="BC60" s="2">
        <v>2.7510526957605568</v>
      </c>
      <c r="BD60" s="2">
        <v>5.27248418514879</v>
      </c>
      <c r="BE60" s="2">
        <v>3.7491333778238101</v>
      </c>
      <c r="BF60" s="2">
        <v>2.9503795317279522</v>
      </c>
      <c r="BG60" s="2">
        <v>0.95250890215476214</v>
      </c>
      <c r="BH60" s="2">
        <v>3.8306902853216922</v>
      </c>
      <c r="BI60" s="2" t="s">
        <v>67</v>
      </c>
      <c r="BJ60" s="2">
        <v>7.0518701589357118</v>
      </c>
      <c r="BK60" s="2">
        <v>1.8709440631853922</v>
      </c>
      <c r="BL60" s="2">
        <v>1.6661117944280921</v>
      </c>
      <c r="BM60" s="2">
        <v>2.167374893164252</v>
      </c>
      <c r="BN60" s="2">
        <v>-0.18901530928118482</v>
      </c>
      <c r="BO60" s="2">
        <v>-5.380234125298422E-4</v>
      </c>
      <c r="BP60" s="2">
        <v>0.30514749190727919</v>
      </c>
      <c r="BQ60" s="2">
        <v>1.9953483750674321</v>
      </c>
      <c r="BR60" s="2">
        <v>3.1164792548063298</v>
      </c>
      <c r="BS60" s="2">
        <v>1.4012775524594836</v>
      </c>
      <c r="BT60" s="2">
        <v>1.4155638103756298</v>
      </c>
      <c r="BU60" s="2">
        <v>1.3919107403340401</v>
      </c>
      <c r="BV60" s="2">
        <v>1.4631455126346502</v>
      </c>
      <c r="BW60" s="2">
        <v>2.9320427018861501</v>
      </c>
      <c r="BX60" s="2">
        <v>1.6049355193873298</v>
      </c>
      <c r="BY60" s="2">
        <v>1.8804695895119701</v>
      </c>
      <c r="BZ60" s="2">
        <v>2.7320732692341099</v>
      </c>
      <c r="CA60" s="2">
        <v>5.51108052707208</v>
      </c>
      <c r="CB60" s="2">
        <v>3.7177087298546496</v>
      </c>
      <c r="CC60" s="2">
        <v>3.2565386027060503</v>
      </c>
      <c r="CE60">
        <f t="shared" si="6"/>
        <v>2.4897003114249103</v>
      </c>
      <c r="CF60">
        <f t="shared" si="7"/>
        <v>2.3056260166310905</v>
      </c>
      <c r="CG60">
        <f t="shared" si="8"/>
        <v>1.1360877686498425</v>
      </c>
      <c r="CH60">
        <f t="shared" si="9"/>
        <v>0.61953311469412331</v>
      </c>
      <c r="CI60">
        <f t="shared" si="10"/>
        <v>0.18407429479382001</v>
      </c>
      <c r="CJ60">
        <f t="shared" si="11"/>
        <v>0.20793547517239402</v>
      </c>
      <c r="CK60" t="s">
        <v>97</v>
      </c>
      <c r="CN60" t="s">
        <v>99</v>
      </c>
      <c r="CO60">
        <v>-6.6330877905235341E-2</v>
      </c>
      <c r="CP60">
        <v>0.10580686330431575</v>
      </c>
    </row>
    <row r="61" spans="1:94" x14ac:dyDescent="0.2">
      <c r="A61" t="s">
        <v>98</v>
      </c>
      <c r="B61" s="1">
        <v>0.34189559987854284</v>
      </c>
      <c r="C61" s="1">
        <v>0.92874655738745293</v>
      </c>
      <c r="D61" s="1">
        <v>0.76954936665698281</v>
      </c>
      <c r="E61" s="1">
        <v>0.31816560827225787</v>
      </c>
      <c r="F61" s="1">
        <v>9.3918791558527837E-2</v>
      </c>
      <c r="G61" s="1">
        <v>0.37836520433255189</v>
      </c>
      <c r="H61" s="1">
        <v>-9.3876737809136135E-2</v>
      </c>
      <c r="I61" s="1">
        <v>0.10034809298020991</v>
      </c>
      <c r="J61" s="1">
        <v>0.1672477315295659</v>
      </c>
      <c r="K61" s="1">
        <v>0.96179078053004297</v>
      </c>
      <c r="L61" s="1">
        <v>-0.18372474285673213</v>
      </c>
      <c r="M61" s="1">
        <v>0.2983263820505449</v>
      </c>
      <c r="N61" s="1">
        <v>2.547081938787493</v>
      </c>
      <c r="O61" s="1">
        <v>0.2817029803619519</v>
      </c>
      <c r="P61" s="1">
        <v>-7.8897750756715124E-2</v>
      </c>
      <c r="Q61" s="1">
        <v>0.9084615492071797</v>
      </c>
      <c r="R61" s="1">
        <v>0.46275471950151686</v>
      </c>
      <c r="S61" s="1">
        <v>0.77925868255412301</v>
      </c>
      <c r="T61" s="1">
        <v>0.84073430715841302</v>
      </c>
      <c r="U61" s="1">
        <v>0.36323967667957885</v>
      </c>
      <c r="V61" s="1">
        <v>0.21993887589162892</v>
      </c>
      <c r="W61" s="1">
        <v>1.0674300787526629</v>
      </c>
      <c r="X61" s="1">
        <v>0.52702178186081294</v>
      </c>
      <c r="Y61" s="1">
        <v>0.39912353182626586</v>
      </c>
      <c r="Z61" s="1">
        <v>0.28654231095540467</v>
      </c>
      <c r="AA61" s="1">
        <v>1.3726511664673811</v>
      </c>
      <c r="AB61" s="1">
        <v>0.21875005659468419</v>
      </c>
      <c r="AC61" s="1">
        <v>0.78703361058647614</v>
      </c>
      <c r="AD61" s="1">
        <v>0.33046397443763081</v>
      </c>
      <c r="AE61" s="1">
        <v>-0.15516836065668416</v>
      </c>
      <c r="AF61" s="1">
        <v>0.32358771120963487</v>
      </c>
      <c r="AG61" s="1">
        <v>0.47002235805410492</v>
      </c>
      <c r="AH61" s="1">
        <v>0.45317617761551482</v>
      </c>
      <c r="AI61" s="1">
        <v>0.39376764979362883</v>
      </c>
      <c r="AJ61" s="1">
        <v>1.0980706753915228</v>
      </c>
      <c r="AK61" s="1">
        <v>0.29118425493823591</v>
      </c>
      <c r="AL61" s="1">
        <v>4.1172275240556666E-2</v>
      </c>
      <c r="AM61" s="1">
        <v>-0.19754527428121513</v>
      </c>
      <c r="AN61" s="1">
        <v>0.83280405603771301</v>
      </c>
      <c r="AO61" s="1">
        <v>1.2808161098260529</v>
      </c>
      <c r="AP61" s="1">
        <v>0.67252227926545283</v>
      </c>
      <c r="AQ61" s="1">
        <v>0.33282021485166585</v>
      </c>
      <c r="AR61" s="1">
        <v>1.0099240984996962</v>
      </c>
      <c r="AS61" s="1">
        <v>-0.43299008525540483</v>
      </c>
      <c r="AT61" s="2">
        <v>-0.42646681953660581</v>
      </c>
      <c r="AU61" s="2">
        <v>0.48141128424368118</v>
      </c>
      <c r="AV61" s="2">
        <v>0.63377162021648914</v>
      </c>
      <c r="AW61" s="2">
        <v>0.40820704045461847</v>
      </c>
      <c r="AX61" s="2">
        <v>-1.2951440334856588</v>
      </c>
      <c r="AY61" s="2">
        <v>-0.71483930584674871</v>
      </c>
      <c r="AZ61" s="2">
        <v>-0.91518462663583888</v>
      </c>
      <c r="BA61" s="2">
        <v>-1.322326994536839</v>
      </c>
      <c r="BB61" s="2">
        <v>0.99391290595403459</v>
      </c>
      <c r="BC61" s="2">
        <v>-0.1243854845368873</v>
      </c>
      <c r="BD61" s="2">
        <v>-0.80164657091845526</v>
      </c>
      <c r="BE61" s="2">
        <v>1.2008145634700926</v>
      </c>
      <c r="BF61" s="2">
        <v>0.84510741477141416</v>
      </c>
      <c r="BG61" s="2">
        <v>0.6744003850390522</v>
      </c>
      <c r="BH61" s="2">
        <v>1.210758320991387</v>
      </c>
      <c r="BI61" s="2">
        <v>0.44562077672034539</v>
      </c>
      <c r="BJ61" s="2">
        <v>-1.604986173137569</v>
      </c>
      <c r="BK61" s="2">
        <v>0.41417903598247996</v>
      </c>
      <c r="BL61" s="2">
        <v>-0.67169130257140874</v>
      </c>
      <c r="BM61" s="2">
        <v>0.6664548522654532</v>
      </c>
      <c r="BN61" s="2">
        <v>-0.98969401098136889</v>
      </c>
      <c r="BO61" s="2">
        <v>0.47456366266166217</v>
      </c>
      <c r="BP61" s="2">
        <v>1.0358106861337113</v>
      </c>
      <c r="BQ61" s="2">
        <v>1.1193800452733682</v>
      </c>
      <c r="BR61" s="2">
        <v>0.54428567193365462</v>
      </c>
      <c r="BS61" s="2">
        <v>0.5986445005405816</v>
      </c>
      <c r="BT61" s="2">
        <v>0.20174961646268222</v>
      </c>
      <c r="BU61" s="2">
        <v>0.17431812897352905</v>
      </c>
      <c r="BV61" s="2">
        <v>0.37485343446388564</v>
      </c>
      <c r="BW61" s="2">
        <v>-0.55749505987598935</v>
      </c>
      <c r="BX61" s="2">
        <v>0.23228544542907015</v>
      </c>
      <c r="BY61" s="2">
        <v>-0.55086301648217328</v>
      </c>
      <c r="BZ61" s="2">
        <v>-0.56508590795418234</v>
      </c>
      <c r="CA61" s="2">
        <v>-0.64545798405648425</v>
      </c>
      <c r="CB61" s="2">
        <v>0.70009624971900375</v>
      </c>
      <c r="CC61" s="2">
        <v>0.5140089095603757</v>
      </c>
      <c r="CE61">
        <f t="shared" si="6"/>
        <v>0.4956410969524494</v>
      </c>
      <c r="CF61">
        <f t="shared" si="7"/>
        <v>7.6649090575121204E-2</v>
      </c>
      <c r="CG61">
        <f t="shared" si="8"/>
        <v>1.3369930874307798</v>
      </c>
      <c r="CH61">
        <f t="shared" si="9"/>
        <v>8.1137737262434763E-3</v>
      </c>
      <c r="CI61">
        <f t="shared" si="10"/>
        <v>0.41899200637732831</v>
      </c>
      <c r="CJ61">
        <f t="shared" si="11"/>
        <v>2.0907771078979107</v>
      </c>
      <c r="CK61" t="s">
        <v>98</v>
      </c>
      <c r="CN61" t="s">
        <v>60</v>
      </c>
      <c r="CO61">
        <v>-8.4260967298106532E-2</v>
      </c>
      <c r="CP61">
        <v>0.10549415397103418</v>
      </c>
    </row>
    <row r="62" spans="1:94" x14ac:dyDescent="0.2">
      <c r="A62" t="s">
        <v>99</v>
      </c>
      <c r="B62" s="1">
        <v>1.9800921768988335</v>
      </c>
      <c r="C62" s="1">
        <v>1.5468932585862536</v>
      </c>
      <c r="D62" s="1">
        <v>3.1802375925819435</v>
      </c>
      <c r="E62" s="1">
        <v>3.3784604508445635</v>
      </c>
      <c r="F62" s="1">
        <v>0.21768619893548158</v>
      </c>
      <c r="G62" s="1">
        <v>4.4855020542309498E-2</v>
      </c>
      <c r="H62" s="1">
        <v>2.6986505052669836</v>
      </c>
      <c r="I62" s="1">
        <v>3.3892336905071234</v>
      </c>
      <c r="J62" s="1">
        <v>2.7243571602335637</v>
      </c>
      <c r="K62" s="1">
        <v>2.5153188794207835</v>
      </c>
      <c r="L62" s="1">
        <v>4.0758215630692236</v>
      </c>
      <c r="M62" s="1">
        <v>3.1666771917135237</v>
      </c>
      <c r="N62" s="1">
        <v>0.74479428066078945</v>
      </c>
      <c r="O62" s="1">
        <v>2.5090136280288635</v>
      </c>
      <c r="P62" s="1">
        <v>4.0756315426379341</v>
      </c>
      <c r="Q62" s="1">
        <v>1.9551462407177411</v>
      </c>
      <c r="R62" s="1">
        <v>3.1095822615951736</v>
      </c>
      <c r="S62" s="1">
        <v>2.8199435549313834</v>
      </c>
      <c r="T62" s="1">
        <v>0.52144754391310943</v>
      </c>
      <c r="U62" s="1">
        <v>0.9174444471091695</v>
      </c>
      <c r="V62" s="1">
        <v>2.7798969587148235</v>
      </c>
      <c r="W62" s="1">
        <v>2.4633783222715935</v>
      </c>
      <c r="X62" s="1">
        <v>2.0947090131208936</v>
      </c>
      <c r="Y62" s="1">
        <v>2.2174028832949335</v>
      </c>
      <c r="Z62" s="1">
        <v>1.2856864521554299</v>
      </c>
      <c r="AA62" s="1">
        <v>0.37694525930027789</v>
      </c>
      <c r="AB62" s="1">
        <v>1.9029731344094358</v>
      </c>
      <c r="AC62" s="1">
        <v>0.95928821151735577</v>
      </c>
      <c r="AD62" s="1">
        <v>1.0806658806335676</v>
      </c>
      <c r="AE62" s="1">
        <v>2.2558823816504132</v>
      </c>
      <c r="AF62" s="1">
        <v>1.0255807408511424</v>
      </c>
      <c r="AG62" s="1">
        <v>0.1609439944398485</v>
      </c>
      <c r="AH62" s="1">
        <v>0.65036468639893852</v>
      </c>
      <c r="AI62" s="1">
        <v>2.2009319703617534</v>
      </c>
      <c r="AJ62" s="1">
        <v>1.7231503240786534</v>
      </c>
      <c r="AK62" s="1">
        <v>2.4904584699282535</v>
      </c>
      <c r="AL62" s="1">
        <v>2.3041345859418101</v>
      </c>
      <c r="AM62" s="1">
        <v>1.7210076914496735</v>
      </c>
      <c r="AN62" s="1">
        <v>9.5229150221770476E-2</v>
      </c>
      <c r="AO62" s="1">
        <v>0.2972144273764043</v>
      </c>
      <c r="AP62" s="1">
        <v>0.41946095256007049</v>
      </c>
      <c r="AQ62" s="1">
        <v>-3.2450449833354489E-2</v>
      </c>
      <c r="AR62" s="1">
        <v>0.24476722675453688</v>
      </c>
      <c r="AS62" s="1">
        <v>1.1474115561828759</v>
      </c>
      <c r="AT62" s="2">
        <v>0.75193103618510082</v>
      </c>
      <c r="AU62" s="2">
        <v>0.20583146784119888</v>
      </c>
      <c r="AV62" s="2">
        <v>4.9947929372551965</v>
      </c>
      <c r="AW62" s="2">
        <v>3.4146830954829057</v>
      </c>
      <c r="AX62" s="2">
        <v>1.2438726035161158</v>
      </c>
      <c r="AY62" s="2">
        <v>1.0439276378441658</v>
      </c>
      <c r="AZ62" s="2">
        <v>1.2650049931040459</v>
      </c>
      <c r="BA62" s="2">
        <v>1.7772780389154759</v>
      </c>
      <c r="BB62" s="2">
        <v>1.7508488502697963</v>
      </c>
      <c r="BC62" s="2">
        <v>2.3794402284438001</v>
      </c>
      <c r="BD62" s="2">
        <v>1.0208069180381161</v>
      </c>
      <c r="BE62" s="2">
        <v>1.7228214554097963</v>
      </c>
      <c r="BF62" s="2">
        <v>2.1759160365863859</v>
      </c>
      <c r="BG62" s="2">
        <v>0.90779928743964589</v>
      </c>
      <c r="BH62" s="2">
        <v>3.3496136990684557</v>
      </c>
      <c r="BI62" s="2">
        <v>3.0438176645185759</v>
      </c>
      <c r="BJ62" s="2">
        <v>3.2837147233457258</v>
      </c>
      <c r="BK62" s="2">
        <v>2.5461141015517459</v>
      </c>
      <c r="BL62" s="2">
        <v>1.5270779909574059</v>
      </c>
      <c r="BM62" s="2">
        <v>2.2612639645878256</v>
      </c>
      <c r="BN62" s="2">
        <v>1.8396824117635058</v>
      </c>
      <c r="BO62" s="2">
        <v>-0.10524454548752145</v>
      </c>
      <c r="BP62" s="2">
        <v>1.0927397718897258</v>
      </c>
      <c r="BQ62" s="2">
        <v>1.8367818520046857</v>
      </c>
      <c r="BR62" s="2">
        <v>1.2844894887761862</v>
      </c>
      <c r="BS62" s="2">
        <v>0.37250490068388808</v>
      </c>
      <c r="BT62" s="2">
        <v>1.8558241992065962</v>
      </c>
      <c r="BU62" s="2">
        <v>2.5563996829748059</v>
      </c>
      <c r="BV62" s="2">
        <v>1.297300252767696</v>
      </c>
      <c r="BW62" s="2">
        <v>2.031324048316276</v>
      </c>
      <c r="BX62" s="2">
        <v>1.4678939475337962</v>
      </c>
      <c r="BY62" s="2">
        <v>1.6756957818177161</v>
      </c>
      <c r="BZ62" s="2">
        <v>2.1456108201211159</v>
      </c>
      <c r="CA62" s="2">
        <v>1.9593670856186263</v>
      </c>
      <c r="CB62" s="2">
        <v>1.4010860372372762</v>
      </c>
      <c r="CC62" s="2">
        <v>2.3668890578919561</v>
      </c>
      <c r="CE62">
        <f t="shared" si="6"/>
        <v>1.7599163866358147</v>
      </c>
      <c r="CF62">
        <f t="shared" si="7"/>
        <v>1.8262472645410501</v>
      </c>
      <c r="CG62">
        <f t="shared" si="8"/>
        <v>0.95506387014566119</v>
      </c>
      <c r="CH62">
        <f t="shared" si="9"/>
        <v>0.78377812212386622</v>
      </c>
      <c r="CI62">
        <f t="shared" si="10"/>
        <v>-6.6330877905235341E-2</v>
      </c>
      <c r="CJ62">
        <f t="shared" si="11"/>
        <v>0.10580686330431575</v>
      </c>
      <c r="CK62" t="s">
        <v>99</v>
      </c>
      <c r="CN62" t="s">
        <v>65</v>
      </c>
      <c r="CO62">
        <v>-6.42279216592853E-2</v>
      </c>
      <c r="CP62">
        <v>0.10190455509285215</v>
      </c>
    </row>
    <row r="63" spans="1:94" x14ac:dyDescent="0.2">
      <c r="A63" t="s">
        <v>100</v>
      </c>
      <c r="B63" s="1">
        <v>1.4005245251791636</v>
      </c>
      <c r="C63" s="1">
        <v>1.1767330619969125</v>
      </c>
      <c r="D63" s="1">
        <v>3.5280291824706707</v>
      </c>
      <c r="E63" s="1">
        <v>3.1554412825720606</v>
      </c>
      <c r="F63" s="1">
        <v>0.60434368836372454</v>
      </c>
      <c r="G63" s="1">
        <v>1.2600453809900065</v>
      </c>
      <c r="H63" s="1">
        <v>2.4245082849643205</v>
      </c>
      <c r="I63" s="1">
        <v>1.2440754922391746</v>
      </c>
      <c r="J63" s="1">
        <v>2.0268423044284307</v>
      </c>
      <c r="K63" s="1">
        <v>1.7449562170884616</v>
      </c>
      <c r="L63" s="1">
        <v>3.4768480928710708</v>
      </c>
      <c r="M63" s="1">
        <v>4.1845000978487006</v>
      </c>
      <c r="N63" s="1">
        <v>0.3627862271509335</v>
      </c>
      <c r="O63" s="1">
        <v>1.3756621629520827</v>
      </c>
      <c r="P63" s="1">
        <v>2.3863656556000605</v>
      </c>
      <c r="Q63" s="1">
        <v>1.4598648704748567</v>
      </c>
      <c r="R63" s="1">
        <v>1.9326772847647704</v>
      </c>
      <c r="S63" s="1">
        <v>1.6861828174723836</v>
      </c>
      <c r="T63" s="1">
        <v>2.9417894653699905</v>
      </c>
      <c r="U63" s="1">
        <v>1.9655860530850404</v>
      </c>
      <c r="V63" s="1">
        <v>2.2264996629399905</v>
      </c>
      <c r="W63" s="1">
        <v>1.2868916661552185</v>
      </c>
      <c r="X63" s="1">
        <v>1.5949246143669424</v>
      </c>
      <c r="Y63" s="1">
        <v>1.9298734421359907</v>
      </c>
      <c r="Z63" s="1">
        <v>2.0641951347671865</v>
      </c>
      <c r="AA63" s="1">
        <v>0.93735922397469973</v>
      </c>
      <c r="AB63" s="1">
        <v>2.0301404324469097</v>
      </c>
      <c r="AC63" s="1">
        <v>1.2060512156673697</v>
      </c>
      <c r="AD63" s="1">
        <v>3.2230309881668808</v>
      </c>
      <c r="AE63" s="1">
        <v>3.1244172808529305</v>
      </c>
      <c r="AF63" s="1">
        <v>1.5187696554503365</v>
      </c>
      <c r="AG63" s="1">
        <v>1.5070070249252034</v>
      </c>
      <c r="AH63" s="1">
        <v>1.7005925784914346</v>
      </c>
      <c r="AI63" s="1">
        <v>1.4096061335772465</v>
      </c>
      <c r="AJ63" s="1">
        <v>1.5821149862633384</v>
      </c>
      <c r="AK63" s="1">
        <v>1.0108293733649174</v>
      </c>
      <c r="AL63" s="1">
        <v>1.436520824692777</v>
      </c>
      <c r="AM63" s="1">
        <v>1.9904466430318903</v>
      </c>
      <c r="AN63" s="1">
        <v>1.5518155943294736</v>
      </c>
      <c r="AO63" s="1">
        <v>1.7679987792889975</v>
      </c>
      <c r="AP63" s="1">
        <v>1.0191931519031154</v>
      </c>
      <c r="AQ63" s="1">
        <v>0.96517297157304049</v>
      </c>
      <c r="AR63" s="1">
        <v>0.92254376389030979</v>
      </c>
      <c r="AS63" s="1">
        <v>1.4278759842959798</v>
      </c>
      <c r="AT63" s="2">
        <v>0.66856064526516978</v>
      </c>
      <c r="AU63" s="2">
        <v>0.4886159010589497</v>
      </c>
      <c r="AV63" s="2">
        <v>2.4295960627691695</v>
      </c>
      <c r="AW63" s="2">
        <v>1.7538359254529798</v>
      </c>
      <c r="AX63" s="2">
        <v>2.4080515125217694</v>
      </c>
      <c r="AY63" s="2">
        <v>2.9303717112337599</v>
      </c>
      <c r="AZ63" s="2">
        <v>1.2428283365782298</v>
      </c>
      <c r="BA63" s="2">
        <v>0.71962714843662967</v>
      </c>
      <c r="BB63" s="2">
        <v>2.1561207262503466</v>
      </c>
      <c r="BC63" s="2">
        <v>2.3362998888080666</v>
      </c>
      <c r="BD63" s="2">
        <v>1.5505300286118562</v>
      </c>
      <c r="BE63" s="2">
        <v>2.7373954194987657</v>
      </c>
      <c r="BF63" s="2">
        <v>1.9522482460856596</v>
      </c>
      <c r="BG63" s="2">
        <v>1.5372227180648397</v>
      </c>
      <c r="BH63" s="2">
        <v>2.6867143369646493</v>
      </c>
      <c r="BI63" s="2">
        <v>2.4005025109896394</v>
      </c>
      <c r="BJ63" s="2">
        <v>3.20891009415939</v>
      </c>
      <c r="BK63" s="2">
        <v>2.8278563668897494</v>
      </c>
      <c r="BL63" s="2">
        <v>2.0604815814353801</v>
      </c>
      <c r="BM63" s="2">
        <v>2.1253621806130596</v>
      </c>
      <c r="BN63" s="2">
        <v>2.1747682363810599</v>
      </c>
      <c r="BO63" s="2">
        <v>-0.22960893057571929</v>
      </c>
      <c r="BP63" s="2">
        <v>0.84976716718132961</v>
      </c>
      <c r="BQ63" s="2">
        <v>1.5093879222676498</v>
      </c>
      <c r="BR63" s="2">
        <v>1.1697927789752562</v>
      </c>
      <c r="BS63" s="2">
        <v>1.0329167304134739</v>
      </c>
      <c r="BT63" s="2">
        <v>1.6281187757776161</v>
      </c>
      <c r="BU63" s="2">
        <v>1.8939666357416061</v>
      </c>
      <c r="BV63" s="2">
        <v>1.3248208613231063</v>
      </c>
      <c r="BW63" s="2">
        <v>1.6452729464612661</v>
      </c>
      <c r="BX63" s="2">
        <v>1.5371479413309661</v>
      </c>
      <c r="BY63" s="2">
        <v>2.4365964904302864</v>
      </c>
      <c r="BZ63" s="2">
        <v>1.9038875715163563</v>
      </c>
      <c r="CA63" s="2">
        <v>2.793520317961546</v>
      </c>
      <c r="CB63" s="2">
        <v>2.5564794901458558</v>
      </c>
      <c r="CC63" s="2">
        <v>3.394343997029666</v>
      </c>
      <c r="CE63">
        <f t="shared" si="6"/>
        <v>1.812991665328068</v>
      </c>
      <c r="CF63">
        <f t="shared" si="7"/>
        <v>1.884508618723594</v>
      </c>
      <c r="CG63">
        <f t="shared" si="8"/>
        <v>0.95163685232281703</v>
      </c>
      <c r="CH63">
        <f t="shared" si="9"/>
        <v>0.69884637107227698</v>
      </c>
      <c r="CI63">
        <f t="shared" si="10"/>
        <v>-7.1516953395526023E-2</v>
      </c>
      <c r="CJ63">
        <f t="shared" si="11"/>
        <v>0.155618285668706</v>
      </c>
      <c r="CK63" t="s">
        <v>100</v>
      </c>
      <c r="CN63" t="s">
        <v>59</v>
      </c>
      <c r="CO63">
        <v>6.4018317199896743E-2</v>
      </c>
      <c r="CP63">
        <v>9.3898857002570987E-2</v>
      </c>
    </row>
    <row r="64" spans="1:94" x14ac:dyDescent="0.2">
      <c r="A64" t="s">
        <v>101</v>
      </c>
      <c r="B64" s="1">
        <v>-0.94058969737810583</v>
      </c>
      <c r="C64" s="1">
        <v>0.43473574723821518</v>
      </c>
      <c r="D64" s="1">
        <v>-0.18004528213251486</v>
      </c>
      <c r="E64" s="1">
        <v>-0.18114033365995555</v>
      </c>
      <c r="F64" s="1">
        <v>-2.931613201376676E-2</v>
      </c>
      <c r="G64" s="1">
        <v>-5.4446600004440765E-2</v>
      </c>
      <c r="H64" s="1">
        <v>-1.3738595200750088</v>
      </c>
      <c r="I64" s="1">
        <v>-0.38533732013754773</v>
      </c>
      <c r="J64" s="1">
        <v>-0.18981548286028116</v>
      </c>
      <c r="K64" s="1">
        <v>0.29167612808315724</v>
      </c>
      <c r="L64" s="1">
        <v>-0.73331338767844778</v>
      </c>
      <c r="M64" s="1">
        <v>-0.14698571245083297</v>
      </c>
      <c r="N64" s="1">
        <v>1.4207009230550012</v>
      </c>
      <c r="O64" s="1">
        <v>-0.35282571118584372</v>
      </c>
      <c r="P64" s="1">
        <v>-8.1307143802185761E-2</v>
      </c>
      <c r="Q64" s="1">
        <v>9.8386303704210032E-2</v>
      </c>
      <c r="R64" s="1">
        <v>-0.51582168935969375</v>
      </c>
      <c r="S64" s="1">
        <v>0.50129368708690025</v>
      </c>
      <c r="T64" s="1">
        <v>9.5791429108804255E-2</v>
      </c>
      <c r="U64" s="1">
        <v>3.8074656067572377E-3</v>
      </c>
      <c r="V64" s="1">
        <v>-0.19694879787269837</v>
      </c>
      <c r="W64" s="1">
        <v>5.6528824272131267E-2</v>
      </c>
      <c r="X64" s="1">
        <v>-0.15419168633211225</v>
      </c>
      <c r="Y64" s="1">
        <v>-0.29881395471402539</v>
      </c>
      <c r="Z64" s="1">
        <v>-0.30269383555214796</v>
      </c>
      <c r="AA64" s="1">
        <v>-0.76279605670457129</v>
      </c>
      <c r="AB64" s="1">
        <v>0.56714140783836964</v>
      </c>
      <c r="AC64" s="1">
        <v>0.52427823905992876</v>
      </c>
      <c r="AD64" s="1">
        <v>1.7994085375767244E-2</v>
      </c>
      <c r="AE64" s="1">
        <v>-0.64299382274899175</v>
      </c>
      <c r="AF64" s="1">
        <v>-0.27056969194358776</v>
      </c>
      <c r="AG64" s="1">
        <v>8.6243556076195244E-2</v>
      </c>
      <c r="AH64" s="1">
        <v>-6.652108177468577E-2</v>
      </c>
      <c r="AI64" s="1">
        <v>-0.77799750664433076</v>
      </c>
      <c r="AJ64" s="1">
        <v>0.31151317826649727</v>
      </c>
      <c r="AK64" s="1">
        <v>-6.6661467297370769E-2</v>
      </c>
      <c r="AL64" s="1">
        <v>-0.78684770319220199</v>
      </c>
      <c r="AM64" s="1">
        <v>-1.0458608301952157</v>
      </c>
      <c r="AN64" s="1">
        <v>0.10660184855785823</v>
      </c>
      <c r="AO64" s="1">
        <v>0.33189625051325922</v>
      </c>
      <c r="AP64" s="1">
        <v>-0.13432740537894194</v>
      </c>
      <c r="AQ64" s="1">
        <v>-0.35241391175878378</v>
      </c>
      <c r="AR64" s="1">
        <v>0.13668131015694673</v>
      </c>
      <c r="AS64" s="1">
        <v>-1.0768454473590763</v>
      </c>
      <c r="AT64" s="2">
        <v>0.14960626429181073</v>
      </c>
      <c r="AU64" s="2">
        <v>0.24131704390054873</v>
      </c>
      <c r="AV64" s="2">
        <v>-0.28361834128276431</v>
      </c>
      <c r="AW64" s="2">
        <v>-0.35689786276563729</v>
      </c>
      <c r="AX64" s="2">
        <v>-1.3416379991120762</v>
      </c>
      <c r="AY64" s="2">
        <v>-1.9498107223795762</v>
      </c>
      <c r="AZ64" s="2">
        <v>-1.4758745903395063</v>
      </c>
      <c r="BA64" s="2">
        <v>-1.7075560246301362</v>
      </c>
      <c r="BB64" s="2">
        <v>0.26337987424171294</v>
      </c>
      <c r="BC64" s="2">
        <v>-0.41589375320825295</v>
      </c>
      <c r="BD64" s="2">
        <v>-1.3587334587719739</v>
      </c>
      <c r="BE64" s="2">
        <v>0.29330516151059111</v>
      </c>
      <c r="BF64" s="2">
        <v>0.29741774245330371</v>
      </c>
      <c r="BG64" s="2">
        <v>-9.2152096256251287E-2</v>
      </c>
      <c r="BH64" s="2">
        <v>0.18440340160470572</v>
      </c>
      <c r="BI64" s="2">
        <v>-0.76774365020377822</v>
      </c>
      <c r="BJ64" s="2">
        <v>-2.573653641232116</v>
      </c>
      <c r="BK64" s="2">
        <v>-0.30708459530993626</v>
      </c>
      <c r="BL64" s="2">
        <v>-0.3441664201081453</v>
      </c>
      <c r="BM64" s="2">
        <v>3.9138171942775399E-2</v>
      </c>
      <c r="BN64" s="2">
        <v>-1.1066696475936362</v>
      </c>
      <c r="BO64" s="2">
        <v>-0.10366946685710429</v>
      </c>
      <c r="BP64" s="2">
        <v>0.83282061355936365</v>
      </c>
      <c r="BQ64" s="2">
        <v>0.78159101170800982</v>
      </c>
      <c r="BR64" s="2">
        <v>-0.17092578134158187</v>
      </c>
      <c r="BS64" s="2">
        <v>0.45664561128917203</v>
      </c>
      <c r="BT64" s="2">
        <v>-0.70959120054547897</v>
      </c>
      <c r="BU64" s="2">
        <v>-0.98162996032780403</v>
      </c>
      <c r="BV64" s="2">
        <v>0.31488277455920161</v>
      </c>
      <c r="BW64" s="2">
        <v>-1.5340439708421039</v>
      </c>
      <c r="BX64" s="2">
        <v>-0.27161705904537886</v>
      </c>
      <c r="BY64" s="2">
        <v>-0.545322280862099</v>
      </c>
      <c r="BZ64" s="2">
        <v>-0.61520996529717298</v>
      </c>
      <c r="CA64" s="2">
        <v>-1.1087440094722341</v>
      </c>
      <c r="CB64" s="2">
        <v>-0.77928723427838387</v>
      </c>
      <c r="CC64" s="2">
        <v>-0.23351211771709784</v>
      </c>
      <c r="CE64">
        <f t="shared" si="6"/>
        <v>-0.16172765518653109</v>
      </c>
      <c r="CF64">
        <f t="shared" si="7"/>
        <v>-0.48001494940886197</v>
      </c>
      <c r="CG64">
        <f t="shared" si="8"/>
        <v>1.2468494636407692</v>
      </c>
      <c r="CH64">
        <f t="shared" si="9"/>
        <v>4.0989068721327813E-2</v>
      </c>
      <c r="CI64">
        <f t="shared" si="10"/>
        <v>0.31828729422233082</v>
      </c>
      <c r="CJ64">
        <f t="shared" si="11"/>
        <v>1.3873319488165301</v>
      </c>
      <c r="CK64" t="s">
        <v>101</v>
      </c>
      <c r="CN64" t="s">
        <v>104</v>
      </c>
      <c r="CO64">
        <v>4.3540332900744293E-2</v>
      </c>
      <c r="CP64">
        <v>9.3552554574708666E-2</v>
      </c>
    </row>
    <row r="65" spans="1:94" x14ac:dyDescent="0.2">
      <c r="A65" t="s">
        <v>102</v>
      </c>
      <c r="B65" s="1">
        <v>1.2215027974168438</v>
      </c>
      <c r="C65" s="1">
        <v>0.80508624667969764</v>
      </c>
      <c r="D65" s="1">
        <v>2.6639356420463356</v>
      </c>
      <c r="E65" s="1">
        <v>1.8908396754616057</v>
      </c>
      <c r="F65" s="1">
        <v>-0.22983939566890532</v>
      </c>
      <c r="G65" s="1">
        <v>0.39239792320463562</v>
      </c>
      <c r="H65" s="1">
        <v>1.5151375876717477</v>
      </c>
      <c r="I65" s="1">
        <v>1.6370862111364257</v>
      </c>
      <c r="J65" s="1">
        <v>1.2207098490954817</v>
      </c>
      <c r="K65" s="1">
        <v>1.4147623054628857</v>
      </c>
      <c r="L65" s="1">
        <v>1.9604856386805056</v>
      </c>
      <c r="M65" s="1">
        <v>2.9226910768848153</v>
      </c>
      <c r="N65" s="1">
        <v>-6.7982013412004383E-2</v>
      </c>
      <c r="O65" s="1">
        <v>0.9237408648637746</v>
      </c>
      <c r="P65" s="1">
        <v>1.7286595454478957</v>
      </c>
      <c r="Q65" s="1">
        <v>0.96489742959337488</v>
      </c>
      <c r="R65" s="1">
        <v>1.3845031946933117</v>
      </c>
      <c r="S65" s="1">
        <v>1.2875779771340476</v>
      </c>
      <c r="T65" s="1">
        <v>0.61752828871089838</v>
      </c>
      <c r="U65" s="1">
        <v>0.28203527601227663</v>
      </c>
      <c r="V65" s="1">
        <v>0.91431885144348768</v>
      </c>
      <c r="W65" s="1">
        <v>-1.1197268946865346E-2</v>
      </c>
      <c r="X65" s="1">
        <v>0.15945746453638265</v>
      </c>
      <c r="Y65" s="1">
        <v>0.41553888961393665</v>
      </c>
      <c r="Z65" s="1">
        <v>1.25514593027986</v>
      </c>
      <c r="AA65" s="1">
        <v>-0.44097283837789625</v>
      </c>
      <c r="AB65" s="1">
        <v>1.5874263154524486</v>
      </c>
      <c r="AC65" s="1">
        <v>2.2107368609164588</v>
      </c>
      <c r="AD65" s="1">
        <v>2.3619312851427257</v>
      </c>
      <c r="AE65" s="1">
        <v>1.9495303898482057</v>
      </c>
      <c r="AF65" s="1">
        <v>1.0030711308991775</v>
      </c>
      <c r="AG65" s="1">
        <v>0.54352890527790221</v>
      </c>
      <c r="AH65" s="1">
        <v>0.50750138407652201</v>
      </c>
      <c r="AI65" s="1">
        <v>0.16626816236727365</v>
      </c>
      <c r="AJ65" s="1">
        <v>0.68180283156832167</v>
      </c>
      <c r="AK65" s="1">
        <v>0.80353331972827458</v>
      </c>
      <c r="AL65" s="1">
        <v>0.99041380468453488</v>
      </c>
      <c r="AM65" s="1">
        <v>0.86742719731811357</v>
      </c>
      <c r="AN65" s="1">
        <v>0.62391079171555464</v>
      </c>
      <c r="AO65" s="1">
        <v>0.61971256756705151</v>
      </c>
      <c r="AP65" s="1">
        <v>0.35452309917250763</v>
      </c>
      <c r="AQ65" s="1">
        <v>0.16980539298789665</v>
      </c>
      <c r="AR65" s="1">
        <v>1.0010603584989988</v>
      </c>
      <c r="AS65" s="1">
        <v>1.2401174649237989</v>
      </c>
      <c r="AT65" s="2">
        <v>8.8031640164261793E-2</v>
      </c>
      <c r="AU65" s="2">
        <v>-0.16292401917065424</v>
      </c>
      <c r="AV65" s="2">
        <v>2.9979546643519983</v>
      </c>
      <c r="AW65" s="2">
        <v>2.3031611451094784</v>
      </c>
      <c r="AX65" s="2">
        <v>0.6646753581413587</v>
      </c>
      <c r="AY65" s="2">
        <v>1.6832396634901887</v>
      </c>
      <c r="AZ65" s="2">
        <v>1.4844828506571761E-2</v>
      </c>
      <c r="BA65" s="2">
        <v>-0.11019650007279425</v>
      </c>
      <c r="BB65" s="2">
        <v>1.6699515391314308</v>
      </c>
      <c r="BC65" s="2">
        <v>1.686661355422443</v>
      </c>
      <c r="BD65" s="2">
        <v>0.23572063024707368</v>
      </c>
      <c r="BE65" s="2">
        <v>1.1011317799632607</v>
      </c>
      <c r="BF65" s="2">
        <v>0.60449627604761869</v>
      </c>
      <c r="BG65" s="2">
        <v>6.5785379544457401E-3</v>
      </c>
      <c r="BH65" s="2">
        <v>3.0407118806632987</v>
      </c>
      <c r="BI65" s="2">
        <v>2.0026439776369784</v>
      </c>
      <c r="BJ65" s="2">
        <v>2.4100111709266887</v>
      </c>
      <c r="BK65" s="2">
        <v>2.1941256772171487</v>
      </c>
      <c r="BL65" s="2">
        <v>-0.16452106597416227</v>
      </c>
      <c r="BM65" s="2">
        <v>0.49864269591524879</v>
      </c>
      <c r="BN65" s="2">
        <v>1.0323537109802987</v>
      </c>
      <c r="BO65" s="2">
        <v>7.1087398051083772E-2</v>
      </c>
      <c r="BP65" s="2">
        <v>-0.64749317444345422</v>
      </c>
      <c r="BQ65" s="2">
        <v>-0.32593465766273721</v>
      </c>
      <c r="BR65" s="2">
        <v>0.2132867683199427</v>
      </c>
      <c r="BS65" s="2">
        <v>0.54772030298553087</v>
      </c>
      <c r="BT65" s="2">
        <v>0.92000796507041471</v>
      </c>
      <c r="BU65" s="2">
        <v>0.90387413681853068</v>
      </c>
      <c r="BV65" s="2">
        <v>2.0407407993926108</v>
      </c>
      <c r="BW65" s="2">
        <v>0.80775935715959069</v>
      </c>
      <c r="BX65" s="2">
        <v>5.9470361048711895E-2</v>
      </c>
      <c r="BY65" s="2">
        <v>0.99177108109035061</v>
      </c>
      <c r="BZ65" s="2">
        <v>1.0674303889803507</v>
      </c>
      <c r="CA65" s="2">
        <v>0.67178810474281869</v>
      </c>
      <c r="CB65" s="2">
        <v>1.1007335685618407</v>
      </c>
      <c r="CC65" s="2">
        <v>1.4320765802711206</v>
      </c>
      <c r="CE65">
        <f t="shared" si="6"/>
        <v>1.0115988275411436</v>
      </c>
      <c r="CF65">
        <f t="shared" si="7"/>
        <v>0.93476705352885803</v>
      </c>
      <c r="CG65">
        <f t="shared" si="8"/>
        <v>1.0546993262932964</v>
      </c>
      <c r="CH65">
        <f t="shared" si="9"/>
        <v>0.69686091448035048</v>
      </c>
      <c r="CI65">
        <f t="shared" si="10"/>
        <v>7.6831774012285636E-2</v>
      </c>
      <c r="CJ65">
        <f t="shared" si="11"/>
        <v>0.15685389349636472</v>
      </c>
      <c r="CK65" t="s">
        <v>102</v>
      </c>
      <c r="CN65" t="s">
        <v>112</v>
      </c>
      <c r="CO65">
        <v>-4.1849947135084921E-2</v>
      </c>
      <c r="CP65">
        <v>8.5778115629424195E-2</v>
      </c>
    </row>
    <row r="66" spans="1:94" x14ac:dyDescent="0.2">
      <c r="A66" t="s">
        <v>103</v>
      </c>
      <c r="B66" s="1">
        <v>-1.7992728978761947</v>
      </c>
      <c r="C66" s="1">
        <v>-1.5247710113734245</v>
      </c>
      <c r="D66" s="1">
        <v>0.73101893338087331</v>
      </c>
      <c r="E66" s="1">
        <v>-0.94445170321685468</v>
      </c>
      <c r="F66" s="1">
        <v>-1.7905702288019147</v>
      </c>
      <c r="G66" s="1">
        <v>-1.5845440021471349</v>
      </c>
      <c r="H66" s="1">
        <v>-1.4771392189515848</v>
      </c>
      <c r="I66" s="1">
        <v>-2.3644564028700845</v>
      </c>
      <c r="J66" s="1">
        <v>-1.8850102505530748</v>
      </c>
      <c r="K66" s="1">
        <v>-1.0340114989936247</v>
      </c>
      <c r="L66" s="1">
        <v>-1.7444584382447748</v>
      </c>
      <c r="M66" s="1">
        <v>-1.1890291168092249</v>
      </c>
      <c r="N66" s="1">
        <v>-1.7197903378990145</v>
      </c>
      <c r="O66" s="1">
        <v>-0.54261853803049465</v>
      </c>
      <c r="P66" s="1">
        <v>-1.8525517631497548</v>
      </c>
      <c r="Q66" s="1">
        <v>-2.2528920060422788</v>
      </c>
      <c r="R66" s="1">
        <v>-1.9780552177170347</v>
      </c>
      <c r="S66" s="1">
        <v>0.19489669356860029</v>
      </c>
      <c r="T66" s="1">
        <v>-2.2555548185514951</v>
      </c>
      <c r="U66" s="1">
        <v>-2.251438915390465</v>
      </c>
      <c r="V66" s="1">
        <v>-3.0063853649448946</v>
      </c>
      <c r="W66" s="1">
        <v>-1.3580905975491249</v>
      </c>
      <c r="X66" s="1">
        <v>-0.32351562546498469</v>
      </c>
      <c r="Y66" s="1">
        <v>-1.5075872365433247</v>
      </c>
      <c r="Z66" s="1">
        <v>-0.75960783784236852</v>
      </c>
      <c r="AA66" s="1">
        <v>-2.0370598532198412</v>
      </c>
      <c r="AB66" s="1">
        <v>-1.3999810124989911</v>
      </c>
      <c r="AC66" s="1">
        <v>-2.2986678583321414</v>
      </c>
      <c r="AD66" s="1">
        <v>-0.95090845342062469</v>
      </c>
      <c r="AE66" s="1">
        <v>-1.4007000273468047</v>
      </c>
      <c r="AF66" s="1">
        <v>-2.7143260708680446</v>
      </c>
      <c r="AG66" s="1">
        <v>-0.80836991074219466</v>
      </c>
      <c r="AH66" s="1">
        <v>-0.9395500323917747</v>
      </c>
      <c r="AI66" s="1">
        <v>-1.0791118936789248</v>
      </c>
      <c r="AJ66" s="1">
        <v>-3.0523872081901047</v>
      </c>
      <c r="AK66" s="1">
        <v>-3.1247594071741345</v>
      </c>
      <c r="AL66" s="1">
        <v>-1.9448787056318886</v>
      </c>
      <c r="AM66" s="1">
        <v>-1.6712860830240046</v>
      </c>
      <c r="AN66" s="1">
        <v>-2.4746705356259451</v>
      </c>
      <c r="AO66" s="1">
        <v>-1.6180027227219849</v>
      </c>
      <c r="AP66" s="1">
        <v>-2.3744851904299145</v>
      </c>
      <c r="AQ66" s="1">
        <v>-2.4447839282486949</v>
      </c>
      <c r="AR66" s="1">
        <v>-2.1141775728455414</v>
      </c>
      <c r="AS66" s="1">
        <v>-1.8456417039055413</v>
      </c>
      <c r="AT66" s="2">
        <v>-0.64310363586000219</v>
      </c>
      <c r="AU66" s="2">
        <v>-1.4571585978950861</v>
      </c>
      <c r="AV66" s="2">
        <v>-0.78566274463867392</v>
      </c>
      <c r="AW66" s="2">
        <v>-0.50209334073415723</v>
      </c>
      <c r="AX66" s="2">
        <v>-1.3705807089290873</v>
      </c>
      <c r="AY66" s="2">
        <v>-1.5924912813155851</v>
      </c>
      <c r="AZ66" s="2">
        <v>-1.5203819547385602</v>
      </c>
      <c r="BA66" s="2">
        <v>-2.3227857704954413</v>
      </c>
      <c r="BB66" s="2">
        <v>-1.2007360060317027</v>
      </c>
      <c r="BC66" s="2">
        <v>-1.0253189960542486</v>
      </c>
      <c r="BD66" s="2">
        <v>-2.5849259717390827</v>
      </c>
      <c r="BE66" s="2">
        <v>-0.77732312174811868</v>
      </c>
      <c r="BF66" s="2">
        <v>-0.6891713771387642</v>
      </c>
      <c r="BG66" s="2">
        <v>-0.48136073273604818</v>
      </c>
      <c r="BH66" s="2">
        <v>-1.4649074637490731</v>
      </c>
      <c r="BI66" s="2">
        <v>-2.3772859891723614</v>
      </c>
      <c r="BJ66" s="2">
        <v>-0.16316561963678822</v>
      </c>
      <c r="BK66" s="2">
        <v>-0.93199928974363222</v>
      </c>
      <c r="BL66" s="2">
        <v>-0.65949388991723712</v>
      </c>
      <c r="BM66" s="2">
        <v>-1.7670263892018201</v>
      </c>
      <c r="BN66" s="2">
        <v>-0.89065374387814855</v>
      </c>
      <c r="BO66" s="2">
        <v>-2.3658797479029912</v>
      </c>
      <c r="BP66" s="2">
        <v>-2.2186780404342112</v>
      </c>
      <c r="BQ66" s="2">
        <v>-1.8629324309238111</v>
      </c>
      <c r="BR66" s="2">
        <v>-1.3212390836458527</v>
      </c>
      <c r="BS66" s="2">
        <v>-2.0983122008884485</v>
      </c>
      <c r="BT66" s="2">
        <v>-1.8934560572086527</v>
      </c>
      <c r="BU66" s="2">
        <v>-1.4550878912686227</v>
      </c>
      <c r="BV66" s="2">
        <v>-1.3652367039732727</v>
      </c>
      <c r="BW66" s="2">
        <v>-0.35422700805806762</v>
      </c>
      <c r="BX66" s="2">
        <v>-1.5515419493059626</v>
      </c>
      <c r="BY66" s="2">
        <v>-1.5220749462312426</v>
      </c>
      <c r="BZ66" s="2">
        <v>-1.0438084888983146</v>
      </c>
      <c r="CA66" s="2">
        <v>-1.5639794129607427</v>
      </c>
      <c r="CB66" s="2">
        <v>-1.7269358945563327</v>
      </c>
      <c r="CC66" s="2">
        <v>-1.0608632904911957</v>
      </c>
      <c r="CE66">
        <f t="shared" si="6"/>
        <v>-1.6480371720979716</v>
      </c>
      <c r="CF66">
        <f t="shared" si="7"/>
        <v>-1.3503299936694817</v>
      </c>
      <c r="CG66">
        <f t="shared" si="8"/>
        <v>0.81354430519974397</v>
      </c>
      <c r="CH66">
        <f t="shared" si="9"/>
        <v>6.6515368506689015E-2</v>
      </c>
      <c r="CI66">
        <f t="shared" si="10"/>
        <v>-0.29770717842848998</v>
      </c>
      <c r="CJ66">
        <f t="shared" si="11"/>
        <v>1.1770779985086628</v>
      </c>
      <c r="CK66" t="s">
        <v>103</v>
      </c>
      <c r="CN66" t="s">
        <v>55</v>
      </c>
      <c r="CO66">
        <v>6.2502299168423023E-2</v>
      </c>
      <c r="CP66">
        <v>8.4301282680406764E-2</v>
      </c>
    </row>
    <row r="67" spans="1:94" x14ac:dyDescent="0.2">
      <c r="A67" t="s">
        <v>104</v>
      </c>
      <c r="B67" s="1">
        <v>-0.54223761934198278</v>
      </c>
      <c r="C67" s="1">
        <v>0.44924568018463223</v>
      </c>
      <c r="D67" s="1">
        <v>0.42371705746852828</v>
      </c>
      <c r="E67" s="1">
        <v>-0.51068139518750277</v>
      </c>
      <c r="F67" s="1">
        <v>-0.27098500007053283</v>
      </c>
      <c r="G67" s="1">
        <v>0.60688685798913122</v>
      </c>
      <c r="H67" s="1">
        <v>9.0039741896642544E-3</v>
      </c>
      <c r="I67" s="1">
        <v>-0.94958356366317276</v>
      </c>
      <c r="J67" s="1">
        <v>4.2830623164967219E-2</v>
      </c>
      <c r="K67" s="1">
        <v>-0.13376633047843678</v>
      </c>
      <c r="L67" s="1">
        <v>-0.28117715962438272</v>
      </c>
      <c r="M67" s="1">
        <v>0.27673949282408428</v>
      </c>
      <c r="N67" s="1">
        <v>0.46220247521162328</v>
      </c>
      <c r="O67" s="1">
        <v>-1.0437098736758825</v>
      </c>
      <c r="P67" s="1">
        <v>-0.84560942162619279</v>
      </c>
      <c r="Q67" s="1">
        <v>0.13292946874664507</v>
      </c>
      <c r="R67" s="1">
        <v>-0.74630917123232277</v>
      </c>
      <c r="S67" s="1">
        <v>0.28220904070170927</v>
      </c>
      <c r="T67" s="1">
        <v>0.68519929162779425</v>
      </c>
      <c r="U67" s="1">
        <v>-0.25901678317793275</v>
      </c>
      <c r="V67" s="1">
        <v>0.46211426889557727</v>
      </c>
      <c r="W67" s="1">
        <v>0.33846357355946821</v>
      </c>
      <c r="X67" s="1">
        <v>-0.1182336569052117</v>
      </c>
      <c r="Y67" s="1">
        <v>0.29553612571717525</v>
      </c>
      <c r="Z67" s="1">
        <v>-0.34726815255010962</v>
      </c>
      <c r="AA67" s="1">
        <v>-0.132080076360823</v>
      </c>
      <c r="AB67" s="1">
        <v>-5.1727330159034968E-2</v>
      </c>
      <c r="AC67" s="1">
        <v>-1.4637202692861622</v>
      </c>
      <c r="AD67" s="1">
        <v>-0.82916864399328272</v>
      </c>
      <c r="AE67" s="1">
        <v>-1.0516573652507129</v>
      </c>
      <c r="AF67" s="1">
        <v>-0.74840071070015279</v>
      </c>
      <c r="AG67" s="1">
        <v>-0.40068333830501268</v>
      </c>
      <c r="AH67" s="1">
        <v>0.31854004819914528</v>
      </c>
      <c r="AI67" s="1">
        <v>0.84734523771523018</v>
      </c>
      <c r="AJ67" s="1">
        <v>0.64399792021653723</v>
      </c>
      <c r="AK67" s="1">
        <v>1.1798972508170682</v>
      </c>
      <c r="AL67" s="1">
        <v>1.079522438303155</v>
      </c>
      <c r="AM67" s="1">
        <v>0.26056504519540724</v>
      </c>
      <c r="AN67" s="1">
        <v>7.7329228820395279E-2</v>
      </c>
      <c r="AO67" s="1">
        <v>0.18433833951970524</v>
      </c>
      <c r="AP67" s="1">
        <v>-0.43668302398204284</v>
      </c>
      <c r="AQ67" s="1">
        <v>-0.48282860981944264</v>
      </c>
      <c r="AR67" s="1">
        <v>-0.83369330626277205</v>
      </c>
      <c r="AS67" s="1">
        <v>-1.092420445517547</v>
      </c>
      <c r="AT67" s="2">
        <v>0.137087144192449</v>
      </c>
      <c r="AU67" s="2">
        <v>-0.63625081866143107</v>
      </c>
      <c r="AV67" s="2">
        <v>-0.50678075415884605</v>
      </c>
      <c r="AW67" s="2">
        <v>8.9163064253600988E-2</v>
      </c>
      <c r="AX67" s="2">
        <v>1.0275156796334382</v>
      </c>
      <c r="AY67" s="2">
        <v>-0.14100587626472599</v>
      </c>
      <c r="AZ67" s="2">
        <v>-0.37671583536329301</v>
      </c>
      <c r="BA67" s="2">
        <v>-0.74636965143812595</v>
      </c>
      <c r="BB67" s="2">
        <v>1.4151447696081942</v>
      </c>
      <c r="BC67" s="2">
        <v>-0.42270395458838894</v>
      </c>
      <c r="BD67" s="2">
        <v>-0.14496918907570655</v>
      </c>
      <c r="BE67" s="2">
        <v>0.20397866290312749</v>
      </c>
      <c r="BF67" s="2">
        <v>-1.2571977741231977E-2</v>
      </c>
      <c r="BG67" s="2">
        <v>0.47830506817908702</v>
      </c>
      <c r="BH67" s="2">
        <v>-1.807129653073102</v>
      </c>
      <c r="BI67" s="2">
        <v>-1.7040975996848018</v>
      </c>
      <c r="BJ67" s="2">
        <v>-1.5788956541212218</v>
      </c>
      <c r="BK67" s="2">
        <v>1.2473519308546379</v>
      </c>
      <c r="BL67" s="2">
        <v>0.26692894664107603</v>
      </c>
      <c r="BM67" s="2">
        <v>-0.259760511330273</v>
      </c>
      <c r="BN67" s="2">
        <v>-9.6656618640479919E-3</v>
      </c>
      <c r="BO67" s="2">
        <v>0.58386046648790302</v>
      </c>
      <c r="BP67" s="2">
        <v>0.29353071214489201</v>
      </c>
      <c r="BQ67" s="2">
        <v>-0.10503352845781599</v>
      </c>
      <c r="BR67" s="2">
        <v>0.14773023716388844</v>
      </c>
      <c r="BS67" s="2">
        <v>-1.1397561075104949</v>
      </c>
      <c r="BT67" s="2">
        <v>-0.51270632184614406</v>
      </c>
      <c r="BU67" s="2">
        <v>-0.54780019897537036</v>
      </c>
      <c r="BV67" s="2">
        <v>-0.84986242477289753</v>
      </c>
      <c r="BW67" s="2">
        <v>-1.5079987621911255</v>
      </c>
      <c r="BX67" s="2">
        <v>-0.35993701968477343</v>
      </c>
      <c r="BY67" s="2">
        <v>2.4600336281601465E-2</v>
      </c>
      <c r="BZ67" s="2">
        <v>-0.60668812206963452</v>
      </c>
      <c r="CA67" s="2">
        <v>-0.87475657724806155</v>
      </c>
      <c r="CB67" s="2">
        <v>1.3922922960298343</v>
      </c>
      <c r="CC67" s="2">
        <v>2.2840376037821644</v>
      </c>
      <c r="CE67">
        <f t="shared" si="6"/>
        <v>-0.10256881382052283</v>
      </c>
      <c r="CF67">
        <f t="shared" si="7"/>
        <v>-0.14610914672126721</v>
      </c>
      <c r="CG67">
        <f t="shared" si="8"/>
        <v>1.0306398871342695</v>
      </c>
      <c r="CH67">
        <f t="shared" si="9"/>
        <v>0.80620863503179985</v>
      </c>
      <c r="CI67">
        <f t="shared" si="10"/>
        <v>4.3540332900744293E-2</v>
      </c>
      <c r="CJ67">
        <f t="shared" si="11"/>
        <v>9.3552554574708666E-2</v>
      </c>
      <c r="CK67" t="s">
        <v>104</v>
      </c>
      <c r="CN67" t="s">
        <v>109</v>
      </c>
      <c r="CO67">
        <v>-3.3429022100057652E-2</v>
      </c>
      <c r="CP67">
        <v>7.9386947103891617E-2</v>
      </c>
    </row>
    <row r="68" spans="1:94" x14ac:dyDescent="0.2">
      <c r="A68" t="s">
        <v>105</v>
      </c>
      <c r="B68" s="1">
        <v>0.78545567985224252</v>
      </c>
      <c r="C68" s="1">
        <v>1.7585694703458654</v>
      </c>
      <c r="D68" s="1">
        <v>5.0148026545646927</v>
      </c>
      <c r="E68" s="1">
        <v>3.4647182593491728</v>
      </c>
      <c r="F68" s="1">
        <v>4.0048971141427021</v>
      </c>
      <c r="G68" s="1">
        <v>3.3338043773058823</v>
      </c>
      <c r="H68" s="1">
        <v>1.7514777327670585</v>
      </c>
      <c r="I68" s="1">
        <v>2.5802960029861808</v>
      </c>
      <c r="J68" s="1">
        <v>2.4799853278943305</v>
      </c>
      <c r="K68" s="1">
        <v>1.6463702523650934</v>
      </c>
      <c r="L68" s="1">
        <v>2.6555144708169234</v>
      </c>
      <c r="M68" s="1">
        <v>3.7796005343429826</v>
      </c>
      <c r="N68" s="1">
        <v>4.447627736062902</v>
      </c>
      <c r="O68" s="1">
        <v>2.1783024585734552</v>
      </c>
      <c r="P68" s="1">
        <v>1.8690442574778094</v>
      </c>
      <c r="Q68" s="1">
        <v>1.8051085213754814</v>
      </c>
      <c r="R68" s="1">
        <v>2.8949419094579838</v>
      </c>
      <c r="S68" s="1">
        <v>2.1335236867118583</v>
      </c>
      <c r="T68" s="1">
        <v>3.4435033247810027</v>
      </c>
      <c r="U68" s="1">
        <v>2.5962879687266636</v>
      </c>
      <c r="V68" s="1">
        <v>2.4617200943780557</v>
      </c>
      <c r="W68" s="1">
        <v>2.6217945014637154</v>
      </c>
      <c r="X68" s="1">
        <v>2.1298349693387131</v>
      </c>
      <c r="Y68" s="1">
        <v>2.9172805022566046</v>
      </c>
      <c r="Z68" s="1">
        <v>3.5950016545180814</v>
      </c>
      <c r="AA68" s="1">
        <v>1.7373851215543792</v>
      </c>
      <c r="AB68" s="1">
        <v>-3.0548931838041309</v>
      </c>
      <c r="AC68" s="1">
        <v>1.642065368548919</v>
      </c>
      <c r="AD68" s="1">
        <v>0.84317483347259259</v>
      </c>
      <c r="AE68" s="1">
        <v>0.7268533918353326</v>
      </c>
      <c r="AF68" s="1">
        <v>1.1492866754424025</v>
      </c>
      <c r="AG68" s="1">
        <v>1.9564154659810575</v>
      </c>
      <c r="AH68" s="1">
        <v>3.1865831371407856</v>
      </c>
      <c r="AI68" s="1">
        <v>1.9381064609528096</v>
      </c>
      <c r="AJ68" s="1">
        <v>0.89434077508942256</v>
      </c>
      <c r="AK68" s="1">
        <v>2.9389801034773266</v>
      </c>
      <c r="AL68" s="1">
        <v>1.6209881832041313</v>
      </c>
      <c r="AM68" s="1">
        <v>3.2757523455700825</v>
      </c>
      <c r="AN68" s="1">
        <v>0.55872272890099262</v>
      </c>
      <c r="AO68" s="1">
        <v>0.83584675757217264</v>
      </c>
      <c r="AP68" s="1">
        <v>1.8311803413843126</v>
      </c>
      <c r="AQ68" s="1">
        <v>1.3295722968135935</v>
      </c>
      <c r="AR68" s="1">
        <v>3.0354044069239392</v>
      </c>
      <c r="AS68" s="1">
        <v>4.1422516514617485</v>
      </c>
      <c r="AT68" s="2">
        <v>1.196861010168929</v>
      </c>
      <c r="AU68" s="2">
        <v>0.9664441922436291</v>
      </c>
      <c r="AV68" s="2">
        <v>0.78942502760788891</v>
      </c>
      <c r="AW68" s="2">
        <v>0.54921951370549893</v>
      </c>
      <c r="AX68" s="2">
        <v>4.4694894372825988</v>
      </c>
      <c r="AY68" s="2">
        <v>5.2833290425258195</v>
      </c>
      <c r="AZ68" s="2">
        <v>4.6136131544623282</v>
      </c>
      <c r="BA68" s="2">
        <v>4.7359290197720387</v>
      </c>
      <c r="BB68" s="2">
        <v>6.5558889007954591</v>
      </c>
      <c r="BC68" s="2">
        <v>4.2731359453048112</v>
      </c>
      <c r="BD68" s="2">
        <v>2.9794158889463684</v>
      </c>
      <c r="BE68" s="2">
        <v>3.820686780553888</v>
      </c>
      <c r="BF68" s="2">
        <v>3.5759463724403893</v>
      </c>
      <c r="BG68" s="2">
        <v>4.4789853177614791</v>
      </c>
      <c r="BH68" s="2">
        <v>0.17363950346078894</v>
      </c>
      <c r="BI68" s="2">
        <v>-1.080382075093403</v>
      </c>
      <c r="BJ68" s="2">
        <v>-1.5178008104617513</v>
      </c>
      <c r="BK68" s="2">
        <v>2.1659026202198191</v>
      </c>
      <c r="BL68" s="2">
        <v>1.049771635614519</v>
      </c>
      <c r="BM68" s="2">
        <v>2.5039038106479494</v>
      </c>
      <c r="BN68" s="2">
        <v>4.7384823291763194</v>
      </c>
      <c r="BO68" s="2">
        <v>2.4971704143527087</v>
      </c>
      <c r="BP68" s="2">
        <v>4.1463502394662086</v>
      </c>
      <c r="BQ68" s="2">
        <v>2.7298064914835991</v>
      </c>
      <c r="BR68" s="2">
        <v>1.1034294410293584</v>
      </c>
      <c r="BS68" s="2">
        <v>3.3389983779158214</v>
      </c>
      <c r="BT68" s="2">
        <v>1.7677794685313382</v>
      </c>
      <c r="BU68" s="2">
        <v>3.9841646733048584</v>
      </c>
      <c r="BV68" s="2">
        <v>0.29804580493818822</v>
      </c>
      <c r="BW68" s="2">
        <v>1.2427723139560385</v>
      </c>
      <c r="BX68" s="2">
        <v>2.6948333811834684</v>
      </c>
      <c r="BY68" s="2">
        <v>6.5250617433548985</v>
      </c>
      <c r="BZ68" s="2">
        <v>3.4613897277829682</v>
      </c>
      <c r="CA68" s="2">
        <v>4.3807274024582288</v>
      </c>
      <c r="CB68" s="2">
        <v>1.3472240808997382</v>
      </c>
      <c r="CC68" s="2">
        <v>4.0856760301097879</v>
      </c>
      <c r="CE68">
        <f t="shared" si="6"/>
        <v>2.2485790982585754</v>
      </c>
      <c r="CF68">
        <f t="shared" si="7"/>
        <v>2.7757032279972944</v>
      </c>
      <c r="CG68">
        <f t="shared" si="8"/>
        <v>0.69393665050592679</v>
      </c>
      <c r="CH68">
        <f t="shared" si="9"/>
        <v>0.17787885358082933</v>
      </c>
      <c r="CI68">
        <f t="shared" si="10"/>
        <v>-0.52712412973871903</v>
      </c>
      <c r="CJ68">
        <f t="shared" si="11"/>
        <v>0.74987567821750467</v>
      </c>
      <c r="CK68" t="s">
        <v>105</v>
      </c>
      <c r="CN68" t="s">
        <v>88</v>
      </c>
      <c r="CO68">
        <v>-3.8329122719314719E-2</v>
      </c>
      <c r="CP68">
        <v>7.3726867241723851E-2</v>
      </c>
    </row>
    <row r="69" spans="1:94" x14ac:dyDescent="0.2">
      <c r="A69" t="s">
        <v>106</v>
      </c>
      <c r="B69" s="1">
        <v>1.5269279103871647</v>
      </c>
      <c r="C69" s="1">
        <v>0.75132687208923765</v>
      </c>
      <c r="D69" s="1">
        <v>1.2438393185814116</v>
      </c>
      <c r="E69" s="1">
        <v>-0.49152914860357733</v>
      </c>
      <c r="F69" s="1">
        <v>-1.2807057288446453</v>
      </c>
      <c r="G69" s="1">
        <v>-0.35386639894179439</v>
      </c>
      <c r="H69" s="1">
        <v>-1.6191188431573753</v>
      </c>
      <c r="I69" s="1">
        <v>-2.5561703149826451</v>
      </c>
      <c r="J69" s="1">
        <v>1.3803558109773346</v>
      </c>
      <c r="K69" s="1">
        <v>-0.23703559108967331</v>
      </c>
      <c r="L69" s="1">
        <v>0.59122102137630872</v>
      </c>
      <c r="M69" s="1">
        <v>1.1733603074487426</v>
      </c>
      <c r="N69" s="1">
        <v>0.91492129648310061</v>
      </c>
      <c r="O69" s="1">
        <v>-2.8311947216602951</v>
      </c>
      <c r="P69" s="1" t="s">
        <v>67</v>
      </c>
      <c r="Q69" s="1">
        <v>-1.1672406364910892</v>
      </c>
      <c r="R69" s="1">
        <v>2.5108352815483848</v>
      </c>
      <c r="S69" s="1">
        <v>1.7507297684796246</v>
      </c>
      <c r="T69" s="1">
        <v>-0.76805898133573547</v>
      </c>
      <c r="U69" s="1" t="s">
        <v>67</v>
      </c>
      <c r="V69" s="1">
        <v>1.0104180361364177</v>
      </c>
      <c r="W69" s="1">
        <v>-0.37873281285049532</v>
      </c>
      <c r="X69" s="1">
        <v>9.7866918357356641E-2</v>
      </c>
      <c r="Y69" s="1">
        <v>0.61835803345312268</v>
      </c>
      <c r="Z69" s="1">
        <v>-2.3141203245624791</v>
      </c>
      <c r="AA69" s="1">
        <v>-0.98851124402333523</v>
      </c>
      <c r="AB69" s="1">
        <v>0.41126935200165077</v>
      </c>
      <c r="AC69" s="1">
        <v>0.80924902376826258</v>
      </c>
      <c r="AD69" s="1">
        <v>-1.6817932439261953</v>
      </c>
      <c r="AE69" s="1">
        <v>-4.461041017279026</v>
      </c>
      <c r="AF69" s="1">
        <v>-1.0148167989319254</v>
      </c>
      <c r="AG69" s="1">
        <v>-0.48589527451875936</v>
      </c>
      <c r="AH69" s="1">
        <v>0.36909818190914601</v>
      </c>
      <c r="AI69" s="1">
        <v>0.57366617489870464</v>
      </c>
      <c r="AJ69" s="1">
        <v>2.9149874709398045</v>
      </c>
      <c r="AK69" s="1">
        <v>1.7127218801959245</v>
      </c>
      <c r="AL69" s="1">
        <v>-0.14532282193814428</v>
      </c>
      <c r="AM69" s="1">
        <v>-2.2750341757704655</v>
      </c>
      <c r="AN69" s="1">
        <v>1.6067314671157746</v>
      </c>
      <c r="AO69" s="1">
        <v>-0.39978594123772537</v>
      </c>
      <c r="AP69" s="1">
        <v>-0.90344860010249528</v>
      </c>
      <c r="AQ69" s="1">
        <v>-0.52611710758234231</v>
      </c>
      <c r="AR69" s="1">
        <v>-1.3490005151974673</v>
      </c>
      <c r="AS69" s="1">
        <v>-1.3423859797422573</v>
      </c>
      <c r="AT69" s="2">
        <v>2.3539913003599731</v>
      </c>
      <c r="AU69" s="2">
        <v>0.88611850111493262</v>
      </c>
      <c r="AV69" s="2">
        <v>-0.12035595775033267</v>
      </c>
      <c r="AW69" s="2">
        <v>0.22313279212991971</v>
      </c>
      <c r="AX69" s="2">
        <v>-1.8883964288322874</v>
      </c>
      <c r="AY69" s="2">
        <v>-1.9057697542003973</v>
      </c>
      <c r="AZ69" s="2" t="s">
        <v>67</v>
      </c>
      <c r="BA69" s="2">
        <v>-1.5300906101418472</v>
      </c>
      <c r="BB69" s="2">
        <v>-0.68298604346102743</v>
      </c>
      <c r="BC69" s="2">
        <v>-0.70650442403082914</v>
      </c>
      <c r="BD69" s="2">
        <v>1.8811196212198447</v>
      </c>
      <c r="BE69" s="2">
        <v>0.80007039140810443</v>
      </c>
      <c r="BF69" s="2">
        <v>-0.62672948993085331</v>
      </c>
      <c r="BG69" s="2">
        <v>-0.93093059060864936</v>
      </c>
      <c r="BH69" s="2">
        <v>1.5515019868077526</v>
      </c>
      <c r="BI69" s="2">
        <v>-2.1158439145512773</v>
      </c>
      <c r="BJ69" s="2">
        <v>-3.0828242024271471</v>
      </c>
      <c r="BK69" s="2">
        <v>-1.6188002755355673</v>
      </c>
      <c r="BL69" s="2">
        <v>-0.65387349501442726</v>
      </c>
      <c r="BM69" s="2">
        <v>-1.3597925863636773</v>
      </c>
      <c r="BN69" s="2">
        <v>1.6496611435388726</v>
      </c>
      <c r="BO69" s="2">
        <v>-1.4477037527997874</v>
      </c>
      <c r="BP69" s="2" t="s">
        <v>67</v>
      </c>
      <c r="BQ69" s="2">
        <v>-0.71686833828824925</v>
      </c>
      <c r="BR69" s="2">
        <v>-0.24200819761103035</v>
      </c>
      <c r="BS69" s="2">
        <v>-0.78354346123382923</v>
      </c>
      <c r="BT69" s="2">
        <v>0.3291544895925736</v>
      </c>
      <c r="BU69" s="2">
        <v>-0.12833150344510413</v>
      </c>
      <c r="BV69" s="2">
        <v>-0.56358141873597845</v>
      </c>
      <c r="BW69" s="2">
        <v>0.46415883285094256</v>
      </c>
      <c r="BX69" s="2">
        <v>-0.50278026335850046</v>
      </c>
      <c r="BY69" s="2">
        <v>-1.6427770327215254</v>
      </c>
      <c r="BZ69" s="2">
        <v>-1.4159138101454556</v>
      </c>
      <c r="CA69" s="2">
        <v>-0.59992593990846543</v>
      </c>
      <c r="CB69" s="2">
        <v>1.1995300387075645</v>
      </c>
      <c r="CC69" s="2">
        <v>1.6917970173828345</v>
      </c>
      <c r="CE69">
        <f t="shared" si="6"/>
        <v>-0.18102481182434454</v>
      </c>
      <c r="CF69">
        <f t="shared" si="7"/>
        <v>-0.359885158117145</v>
      </c>
      <c r="CG69">
        <f t="shared" si="8"/>
        <v>1.1319893195917148</v>
      </c>
      <c r="CH69">
        <f t="shared" si="9"/>
        <v>0.58232928600098588</v>
      </c>
      <c r="CI69">
        <f t="shared" si="10"/>
        <v>0.17886034629280054</v>
      </c>
      <c r="CJ69">
        <f t="shared" si="11"/>
        <v>0.23483136818014291</v>
      </c>
      <c r="CK69" t="s">
        <v>106</v>
      </c>
      <c r="CN69" t="s">
        <v>78</v>
      </c>
      <c r="CO69">
        <v>-2.1784723927543118E-2</v>
      </c>
      <c r="CP69">
        <v>5.8417855828273267E-2</v>
      </c>
    </row>
    <row r="70" spans="1:94" x14ac:dyDescent="0.2">
      <c r="A70" t="s">
        <v>107</v>
      </c>
      <c r="B70" s="1">
        <v>1.0523283739330587</v>
      </c>
      <c r="C70" s="1">
        <v>1.9212683742461236</v>
      </c>
      <c r="D70" s="1">
        <v>6.226504192491249</v>
      </c>
      <c r="E70" s="1">
        <v>5.5303303729249382</v>
      </c>
      <c r="F70" s="1">
        <v>3.5314045790374387</v>
      </c>
      <c r="G70" s="1">
        <v>2.3401945878736736</v>
      </c>
      <c r="H70" s="1">
        <v>4.2719210577694291</v>
      </c>
      <c r="I70" s="1">
        <v>5.7869120926180688</v>
      </c>
      <c r="J70" s="1">
        <v>1.9685423933901907</v>
      </c>
      <c r="K70" s="1">
        <v>2.5595986407313083</v>
      </c>
      <c r="L70" s="1">
        <v>6.3831204516931486</v>
      </c>
      <c r="M70" s="1">
        <v>5.9733466908967285</v>
      </c>
      <c r="N70" s="1">
        <v>2.2148133670800298</v>
      </c>
      <c r="O70" s="1">
        <v>4.8133531373182388</v>
      </c>
      <c r="P70" s="1">
        <v>6.5503586038133088</v>
      </c>
      <c r="Q70" s="1">
        <v>3.5863884301297722</v>
      </c>
      <c r="R70" s="1">
        <v>5.063016569576229</v>
      </c>
      <c r="S70" s="1">
        <v>5.1100665743707285</v>
      </c>
      <c r="T70" s="1">
        <v>2.2897563758691177</v>
      </c>
      <c r="U70" s="1">
        <v>2.2758568675468176</v>
      </c>
      <c r="V70" s="1">
        <v>4.3756849161251292</v>
      </c>
      <c r="W70" s="1">
        <v>6.5871278910843589</v>
      </c>
      <c r="X70" s="1">
        <v>4.3832700901782289</v>
      </c>
      <c r="Y70" s="1">
        <v>3.8206293519513386</v>
      </c>
      <c r="Z70" s="1">
        <v>4.9096792251103318</v>
      </c>
      <c r="AA70" s="1">
        <v>1.797097098172471</v>
      </c>
      <c r="AB70" s="1">
        <v>3.3040288191049814</v>
      </c>
      <c r="AC70" s="1">
        <v>3.6576821079164312</v>
      </c>
      <c r="AD70" s="1">
        <v>0.78751255366381256</v>
      </c>
      <c r="AE70" s="1">
        <v>4.7085450141115484</v>
      </c>
      <c r="AF70" s="1">
        <v>5.3385449827400988</v>
      </c>
      <c r="AG70" s="1">
        <v>4.6196249925118584</v>
      </c>
      <c r="AH70" s="1">
        <v>5.4465414870071989</v>
      </c>
      <c r="AI70" s="1">
        <v>5.1564304728100989</v>
      </c>
      <c r="AJ70" s="1">
        <v>3.8643536026626286</v>
      </c>
      <c r="AK70" s="1">
        <v>5.1318387374974188</v>
      </c>
      <c r="AL70" s="1">
        <v>3.084329297887292</v>
      </c>
      <c r="AM70" s="1">
        <v>4.252628494949759</v>
      </c>
      <c r="AN70" s="1">
        <v>2.7257353232048489</v>
      </c>
      <c r="AO70" s="1">
        <v>1.4826360415872215</v>
      </c>
      <c r="AP70" s="1">
        <v>2.7496061970928087</v>
      </c>
      <c r="AQ70" s="1">
        <v>3.0808624852802389</v>
      </c>
      <c r="AR70" s="1">
        <v>3.8923638974789907</v>
      </c>
      <c r="AS70" s="1">
        <v>3.9400431195956709</v>
      </c>
      <c r="AT70" s="2">
        <v>1.277172673620901</v>
      </c>
      <c r="AU70" s="2">
        <v>3.2321333480893313</v>
      </c>
      <c r="AV70" s="2">
        <v>4.5649102440282903</v>
      </c>
      <c r="AW70" s="2">
        <v>4.6573507710774003</v>
      </c>
      <c r="AX70" s="2">
        <v>4.4076163325027711</v>
      </c>
      <c r="AY70" s="2">
        <v>4.4697413327038902</v>
      </c>
      <c r="AZ70" s="2">
        <v>5.4636896955498813</v>
      </c>
      <c r="BA70" s="2">
        <v>4.0747238782786308</v>
      </c>
      <c r="BB70" s="2">
        <v>5.976671612478281</v>
      </c>
      <c r="BC70" s="2">
        <v>5.3597412115010723</v>
      </c>
      <c r="BD70" s="2">
        <v>5.3605921654499511</v>
      </c>
      <c r="BE70" s="2">
        <v>4.2922041956878605</v>
      </c>
      <c r="BF70" s="2">
        <v>3.7310653502201405</v>
      </c>
      <c r="BG70" s="2">
        <v>3.2344839644904808</v>
      </c>
      <c r="BH70" s="2">
        <v>5.1242996871775617</v>
      </c>
      <c r="BI70" s="2">
        <v>4.2256094446234602</v>
      </c>
      <c r="BJ70" s="2">
        <v>3.4175484818784807</v>
      </c>
      <c r="BK70" s="2">
        <v>3.0439103972650909</v>
      </c>
      <c r="BL70" s="2">
        <v>3.8882123249724008</v>
      </c>
      <c r="BM70" s="2">
        <v>2.5212915404230407</v>
      </c>
      <c r="BN70" s="2">
        <v>5.4570268004319509</v>
      </c>
      <c r="BO70" s="2">
        <v>2.0304911657906111</v>
      </c>
      <c r="BP70" s="2">
        <v>4.720416525747801</v>
      </c>
      <c r="BQ70" s="2">
        <v>4.1855591022072218</v>
      </c>
      <c r="BR70" s="2">
        <v>1.6653448606264103</v>
      </c>
      <c r="BS70" s="2">
        <v>3.6099080079354424</v>
      </c>
      <c r="BT70" s="2">
        <v>3.7703299004986106</v>
      </c>
      <c r="BU70" s="2">
        <v>4.3384824068524104</v>
      </c>
      <c r="BV70" s="2">
        <v>3.5913191432199603</v>
      </c>
      <c r="BW70" s="2">
        <v>3.9896579928766802</v>
      </c>
      <c r="BX70" s="2">
        <v>5.542691400558331</v>
      </c>
      <c r="BY70" s="2">
        <v>7.2638785843649103</v>
      </c>
      <c r="BZ70" s="2">
        <v>5.2204834353044909</v>
      </c>
      <c r="CA70" s="2">
        <v>5.2467179342610599</v>
      </c>
      <c r="CB70" s="2">
        <v>5.1045192870332805</v>
      </c>
      <c r="CC70" s="2">
        <v>3.9380101893756101</v>
      </c>
      <c r="CE70">
        <f t="shared" si="6"/>
        <v>3.9214972257507812</v>
      </c>
      <c r="CF70">
        <f t="shared" si="7"/>
        <v>4.222161260808436</v>
      </c>
      <c r="CG70">
        <f t="shared" si="8"/>
        <v>0.81187862369952857</v>
      </c>
      <c r="CH70">
        <f t="shared" si="9"/>
        <v>0.33516508941957857</v>
      </c>
      <c r="CI70">
        <f t="shared" si="10"/>
        <v>-0.30066403505765493</v>
      </c>
      <c r="CJ70">
        <f t="shared" si="11"/>
        <v>0.47474122352032389</v>
      </c>
      <c r="CK70" t="s">
        <v>107</v>
      </c>
      <c r="CN70" t="s">
        <v>115</v>
      </c>
      <c r="CO70">
        <v>1.7824842192025493E-2</v>
      </c>
      <c r="CP70">
        <v>4.7336685852326393E-2</v>
      </c>
    </row>
    <row r="71" spans="1:94" x14ac:dyDescent="0.2">
      <c r="A71" t="s">
        <v>108</v>
      </c>
      <c r="B71" s="1">
        <v>-0.52178516796615615</v>
      </c>
      <c r="C71" s="1">
        <v>-1.0373605537969661</v>
      </c>
      <c r="D71" s="1">
        <v>6.0222754892605868E-2</v>
      </c>
      <c r="E71" s="1">
        <v>-0.95270750520806013</v>
      </c>
      <c r="F71" s="1">
        <v>-1.344257128547198</v>
      </c>
      <c r="G71" s="1">
        <v>-0.52051054504442118</v>
      </c>
      <c r="H71" s="1">
        <v>-0.40705163236180414</v>
      </c>
      <c r="I71" s="1">
        <v>-0.82099907364995917</v>
      </c>
      <c r="J71" s="1">
        <v>-0.32017308846084414</v>
      </c>
      <c r="K71" s="1">
        <v>-0.53685679051680413</v>
      </c>
      <c r="L71" s="1">
        <v>-0.91943364165943209</v>
      </c>
      <c r="M71" s="1">
        <v>-0.24562958653754294</v>
      </c>
      <c r="N71" s="1">
        <v>-1.4937451552676082</v>
      </c>
      <c r="O71" s="1">
        <v>-0.58045281315476815</v>
      </c>
      <c r="P71" s="1">
        <v>-0.94331337566812312</v>
      </c>
      <c r="Q71" s="1">
        <v>-1.0561298675146877</v>
      </c>
      <c r="R71" s="1">
        <v>0.14793634419094187</v>
      </c>
      <c r="S71" s="1">
        <v>0.51745336315061186</v>
      </c>
      <c r="T71" s="1">
        <v>-1.2726923718553882</v>
      </c>
      <c r="U71" s="1">
        <v>-0.80835273247193917</v>
      </c>
      <c r="V71" s="1">
        <v>-0.98301188542897111</v>
      </c>
      <c r="W71" s="1">
        <v>-0.96166475736309409</v>
      </c>
      <c r="X71" s="1">
        <v>-1.6937128220724482</v>
      </c>
      <c r="Y71" s="1">
        <v>-1.2004299583207081</v>
      </c>
      <c r="Z71" s="1">
        <v>-0.5299220621873777</v>
      </c>
      <c r="AA71" s="1">
        <v>-1.4205804542978413</v>
      </c>
      <c r="AB71" s="1">
        <v>-0.22695605667823818</v>
      </c>
      <c r="AC71" s="1">
        <v>-1.7792361349479111</v>
      </c>
      <c r="AD71" s="1">
        <v>-1.4856709518097082</v>
      </c>
      <c r="AE71" s="1">
        <v>-1.4007796541866682</v>
      </c>
      <c r="AF71" s="1">
        <v>-0.82668768585991215</v>
      </c>
      <c r="AG71" s="1">
        <v>-0.99965629031918413</v>
      </c>
      <c r="AH71" s="1">
        <v>-2.479947074301168</v>
      </c>
      <c r="AI71" s="1">
        <v>-0.32048168030159813</v>
      </c>
      <c r="AJ71" s="1">
        <v>-0.26206978099728451</v>
      </c>
      <c r="AK71" s="1">
        <v>-1.0841401966864153</v>
      </c>
      <c r="AL71" s="1">
        <v>-1.6323966505388576</v>
      </c>
      <c r="AM71" s="1">
        <v>-2.4486413904655482</v>
      </c>
      <c r="AN71" s="1">
        <v>8.3849269555940853E-2</v>
      </c>
      <c r="AO71" s="1">
        <v>-0.12074943947693963</v>
      </c>
      <c r="AP71" s="1">
        <v>-0.30925067613312313</v>
      </c>
      <c r="AQ71" s="1">
        <v>-0.85263291408213515</v>
      </c>
      <c r="AR71" s="1">
        <v>-1.084476255881698</v>
      </c>
      <c r="AS71" s="1">
        <v>2.0430133318065841E-2</v>
      </c>
      <c r="AT71" s="2">
        <v>-6.0382863527725178E-2</v>
      </c>
      <c r="AU71" s="2">
        <v>-0.81379427557391315</v>
      </c>
      <c r="AV71" s="2">
        <v>0.10748250864352282</v>
      </c>
      <c r="AW71" s="2">
        <v>-0.56328114947534713</v>
      </c>
      <c r="AX71" s="2">
        <v>-1.0278765528072022</v>
      </c>
      <c r="AY71" s="2">
        <v>-3.1705368987134914</v>
      </c>
      <c r="AZ71" s="2">
        <v>-0.70333988875685116</v>
      </c>
      <c r="BA71" s="2">
        <v>-1.837965714825001</v>
      </c>
      <c r="BB71" s="2">
        <v>-1.3909080762665891</v>
      </c>
      <c r="BC71" s="2">
        <v>-0.78757596388164774</v>
      </c>
      <c r="BD71" s="2">
        <v>-0.41856816707432898</v>
      </c>
      <c r="BE71" s="2">
        <v>-1.508484331794679</v>
      </c>
      <c r="BF71" s="2">
        <v>0.28074037465285084</v>
      </c>
      <c r="BG71" s="2">
        <v>-0.71693214499108515</v>
      </c>
      <c r="BH71" s="2">
        <v>-1.121925944088324</v>
      </c>
      <c r="BI71" s="2">
        <v>-1.0194299257542601</v>
      </c>
      <c r="BJ71" s="2">
        <v>-0.29070974718412795</v>
      </c>
      <c r="BK71" s="2">
        <v>-1.0725212342184181</v>
      </c>
      <c r="BL71" s="2">
        <v>-0.56427909422467415</v>
      </c>
      <c r="BM71" s="2">
        <v>-1.0499084537829551</v>
      </c>
      <c r="BN71" s="2">
        <v>-0.17869824057472686</v>
      </c>
      <c r="BO71" s="2">
        <v>-1.4515635222973411</v>
      </c>
      <c r="BP71" s="2">
        <v>-1.9143806350848713</v>
      </c>
      <c r="BQ71" s="2">
        <v>-1.6518989048050212</v>
      </c>
      <c r="BR71" s="2">
        <v>-0.82570368758342894</v>
      </c>
      <c r="BS71" s="2">
        <v>-0.6350169583655576</v>
      </c>
      <c r="BT71" s="2">
        <v>-0.43739723481555304</v>
      </c>
      <c r="BU71" s="2">
        <v>-1.032518880632479</v>
      </c>
      <c r="BV71" s="2">
        <v>-1.1667216530153091</v>
      </c>
      <c r="BW71" s="2">
        <v>-0.55266743155933806</v>
      </c>
      <c r="BX71" s="2">
        <v>-0.25264291794215299</v>
      </c>
      <c r="BY71" s="2">
        <v>0.13802724734144597</v>
      </c>
      <c r="BZ71" s="2">
        <v>0.31987454667827075</v>
      </c>
      <c r="CA71" s="2">
        <v>-0.656922321933054</v>
      </c>
      <c r="CB71" s="2">
        <v>-0.72542363756782502</v>
      </c>
      <c r="CC71" s="2">
        <v>-0.96859156456810891</v>
      </c>
      <c r="CE71">
        <f t="shared" si="6"/>
        <v>-0.84215122583887192</v>
      </c>
      <c r="CF71">
        <f t="shared" si="7"/>
        <v>-0.82562342612136919</v>
      </c>
      <c r="CG71">
        <f t="shared" si="8"/>
        <v>0.98860917458099296</v>
      </c>
      <c r="CH71">
        <f t="shared" si="9"/>
        <v>0.91309718922260097</v>
      </c>
      <c r="CI71">
        <f t="shared" si="10"/>
        <v>-1.6527799717502702E-2</v>
      </c>
      <c r="CJ71">
        <f t="shared" si="11"/>
        <v>3.9482994101334649E-2</v>
      </c>
      <c r="CK71" t="s">
        <v>108</v>
      </c>
      <c r="CN71" t="s">
        <v>94</v>
      </c>
      <c r="CO71">
        <v>-2.0176427087024641E-2</v>
      </c>
      <c r="CP71">
        <v>4.2164353244993499E-2</v>
      </c>
    </row>
    <row r="72" spans="1:94" x14ac:dyDescent="0.2">
      <c r="A72" t="s">
        <v>109</v>
      </c>
      <c r="B72" s="1">
        <v>0.14610740769465605</v>
      </c>
      <c r="C72" s="1">
        <v>-0.77095336692947714</v>
      </c>
      <c r="D72" s="1">
        <v>0.87537406568740284</v>
      </c>
      <c r="E72" s="1">
        <v>0.31497411531173986</v>
      </c>
      <c r="F72" s="1">
        <v>-0.76617038915951208</v>
      </c>
      <c r="G72" s="1">
        <v>-0.38273460808848014</v>
      </c>
      <c r="H72" s="1">
        <v>-0.18747903109179612</v>
      </c>
      <c r="I72" s="1">
        <v>0.23781012869587886</v>
      </c>
      <c r="J72" s="1">
        <v>0.39261189431903687</v>
      </c>
      <c r="K72" s="1">
        <v>-0.13314864245255811</v>
      </c>
      <c r="L72" s="1">
        <v>-6.5551656635721128E-2</v>
      </c>
      <c r="M72" s="1">
        <v>0.28907321347334985</v>
      </c>
      <c r="N72" s="1">
        <v>-1.1052700950222942</v>
      </c>
      <c r="O72" s="1">
        <v>-0.45480185336037315</v>
      </c>
      <c r="P72" s="1">
        <v>-0.83760377167910516</v>
      </c>
      <c r="Q72" s="1">
        <v>-1.0494953573744024</v>
      </c>
      <c r="R72" s="1">
        <v>0.32491904704336683</v>
      </c>
      <c r="S72" s="1">
        <v>0.66054794257582083</v>
      </c>
      <c r="T72" s="1">
        <v>-0.47964606336891014</v>
      </c>
      <c r="U72" s="1">
        <v>3.5314931702601166E-2</v>
      </c>
      <c r="V72" s="1">
        <v>0.25926222637499785</v>
      </c>
      <c r="W72" s="1">
        <v>-0.47437335328605013</v>
      </c>
      <c r="X72" s="1">
        <v>-0.59669994179933517</v>
      </c>
      <c r="Y72" s="1">
        <v>0.35855841088914686</v>
      </c>
      <c r="Z72" s="1">
        <v>-0.58850762162351322</v>
      </c>
      <c r="AA72" s="1">
        <v>0.28082312424491085</v>
      </c>
      <c r="AB72" s="1">
        <v>0.2410533511521159</v>
      </c>
      <c r="AC72" s="1">
        <v>0.88387101871877993</v>
      </c>
      <c r="AD72" s="1">
        <v>-1.0115027431250543</v>
      </c>
      <c r="AE72" s="1">
        <v>-0.95980731443569411</v>
      </c>
      <c r="AF72" s="1">
        <v>-0.4369807045143661</v>
      </c>
      <c r="AG72" s="1">
        <v>-0.48308722769115608</v>
      </c>
      <c r="AH72" s="1">
        <v>-0.14387661716251313</v>
      </c>
      <c r="AI72" s="1">
        <v>0.23916602441211188</v>
      </c>
      <c r="AJ72" s="1">
        <v>0.25495194154619283</v>
      </c>
      <c r="AK72" s="1">
        <v>-0.14278432550893214</v>
      </c>
      <c r="AL72" s="1">
        <v>-1.1098393790780323</v>
      </c>
      <c r="AM72" s="1">
        <v>-0.51341260120006815</v>
      </c>
      <c r="AN72" s="1">
        <v>0.56325693302664082</v>
      </c>
      <c r="AO72" s="1">
        <v>8.2214414190469862E-2</v>
      </c>
      <c r="AP72" s="1">
        <v>-0.26316434878831518</v>
      </c>
      <c r="AQ72" s="1">
        <v>-0.34284791353427713</v>
      </c>
      <c r="AR72" s="1">
        <v>0.41311262460244091</v>
      </c>
      <c r="AS72" s="1">
        <v>1.2514794859867799</v>
      </c>
      <c r="AT72" s="2">
        <v>8.8749733922007912E-2</v>
      </c>
      <c r="AU72" s="2">
        <v>-0.32208314446933439</v>
      </c>
      <c r="AV72" s="2">
        <v>-1.4652839641356201</v>
      </c>
      <c r="AW72" s="2">
        <v>-1.5868841445812001</v>
      </c>
      <c r="AX72" s="2">
        <v>-0.3439821735806215</v>
      </c>
      <c r="AY72" s="2">
        <v>0.25111378963040287</v>
      </c>
      <c r="AZ72" s="2">
        <v>1.6879026716867198</v>
      </c>
      <c r="BA72" s="2">
        <v>0.44004362488494186</v>
      </c>
      <c r="BB72" s="2">
        <v>0.20098087548998878</v>
      </c>
      <c r="BC72" s="2">
        <v>-0.81134677017023116</v>
      </c>
      <c r="BD72" s="2">
        <v>0.70707583003098284</v>
      </c>
      <c r="BE72" s="2">
        <v>0.47344543058385091</v>
      </c>
      <c r="BF72" s="2">
        <v>-0.34145362154803999</v>
      </c>
      <c r="BG72" s="2">
        <v>0.38597602612708293</v>
      </c>
      <c r="BH72" s="2">
        <v>-1.2705241077217502</v>
      </c>
      <c r="BI72" s="2">
        <v>-1.8411873696634502</v>
      </c>
      <c r="BJ72" s="2">
        <v>-1.18124619313584</v>
      </c>
      <c r="BK72" s="2">
        <v>-0.39879996551882912</v>
      </c>
      <c r="BL72" s="2">
        <v>-0.26935759534675285</v>
      </c>
      <c r="BM72" s="2">
        <v>-1.5700967470818089E-2</v>
      </c>
      <c r="BN72" s="2">
        <v>0.40315080334065989</v>
      </c>
      <c r="BO72" s="2">
        <v>0.3525783155352169</v>
      </c>
      <c r="BP72" s="2">
        <v>-0.30875492242509228</v>
      </c>
      <c r="BQ72" s="2">
        <v>-0.74094883476888218</v>
      </c>
      <c r="BR72" s="2">
        <v>-0.22866832573564613</v>
      </c>
      <c r="BS72" s="2">
        <v>0.53651259906339477</v>
      </c>
      <c r="BT72" s="2">
        <v>0.35996488604584287</v>
      </c>
      <c r="BU72" s="2">
        <v>-0.67945933427077909</v>
      </c>
      <c r="BV72" s="2">
        <v>0.54798105413428388</v>
      </c>
      <c r="BW72" s="2">
        <v>-0.59459971362762409</v>
      </c>
      <c r="BX72" s="2">
        <v>0.22961879981938288</v>
      </c>
      <c r="BY72" s="2">
        <v>-9.4035865331340146E-2</v>
      </c>
      <c r="BZ72" s="2">
        <v>1.4262592810659878</v>
      </c>
      <c r="CA72" s="2">
        <v>1.0389810948750959</v>
      </c>
      <c r="CB72" s="2">
        <v>-3.1846644814209124E-2</v>
      </c>
      <c r="CC72" s="2">
        <v>0.34860912610469885</v>
      </c>
      <c r="CE72">
        <f t="shared" si="6"/>
        <v>-0.11807401421048856</v>
      </c>
      <c r="CF72">
        <f t="shared" si="7"/>
        <v>-8.4644992110431055E-2</v>
      </c>
      <c r="CG72">
        <f t="shared" si="8"/>
        <v>0.97709515908173272</v>
      </c>
      <c r="CH72">
        <f t="shared" si="9"/>
        <v>0.83293872330493912</v>
      </c>
      <c r="CI72">
        <f t="shared" si="10"/>
        <v>-3.3429022100057652E-2</v>
      </c>
      <c r="CJ72">
        <f t="shared" si="11"/>
        <v>7.9386947103891617E-2</v>
      </c>
      <c r="CK72" t="s">
        <v>109</v>
      </c>
      <c r="CN72" t="s">
        <v>111</v>
      </c>
      <c r="CO72">
        <v>2.6276653996971162E-2</v>
      </c>
      <c r="CP72">
        <v>4.1007729263871112E-2</v>
      </c>
    </row>
    <row r="73" spans="1:94" x14ac:dyDescent="0.2">
      <c r="A73" t="s">
        <v>110</v>
      </c>
      <c r="B73" s="1">
        <v>-2.0280346148112742</v>
      </c>
      <c r="C73" s="1">
        <v>-1.5726939800712842</v>
      </c>
      <c r="D73" s="1">
        <v>0.22122716433924272</v>
      </c>
      <c r="E73" s="1">
        <v>-0.62665591523210429</v>
      </c>
      <c r="F73" s="1">
        <v>-0.55973609737727426</v>
      </c>
      <c r="G73" s="1">
        <v>-1.6697351924950943</v>
      </c>
      <c r="H73" s="1">
        <v>-0.46867466157815429</v>
      </c>
      <c r="I73" s="1">
        <v>-0.92023792204120425</v>
      </c>
      <c r="J73" s="1">
        <v>-1.1511097414055642</v>
      </c>
      <c r="K73" s="1">
        <v>-1.3256966644684043</v>
      </c>
      <c r="L73" s="1">
        <v>0.1996732638603147</v>
      </c>
      <c r="M73" s="1">
        <v>0.1805827774941397</v>
      </c>
      <c r="N73" s="1">
        <v>-0.90536961428358431</v>
      </c>
      <c r="O73" s="1">
        <v>-0.83172103180890433</v>
      </c>
      <c r="P73" s="1">
        <v>-1.5597350445449143</v>
      </c>
      <c r="Q73" s="1">
        <v>-0.78921136788085344</v>
      </c>
      <c r="R73" s="1">
        <v>8.1254058100870719E-2</v>
      </c>
      <c r="S73" s="1">
        <v>-0.88141945009495437</v>
      </c>
      <c r="T73" s="1">
        <v>-1.4300741459547943</v>
      </c>
      <c r="U73" s="1">
        <v>-1.5471661165020643</v>
      </c>
      <c r="V73" s="1">
        <v>-0.78703599866745422</v>
      </c>
      <c r="W73" s="1">
        <v>-0.80141455715073429</v>
      </c>
      <c r="X73" s="1">
        <v>-1.0672694339577342</v>
      </c>
      <c r="Y73" s="1">
        <v>-0.62752180003719427</v>
      </c>
      <c r="Z73" s="1">
        <v>-1.2466821307633034</v>
      </c>
      <c r="AA73" s="1">
        <v>-1.2519501460199534</v>
      </c>
      <c r="AB73" s="1">
        <v>-1.6054926936804832</v>
      </c>
      <c r="AC73" s="1">
        <v>-1.8182264893372633</v>
      </c>
      <c r="AD73" s="1">
        <v>-1.2533194203636744</v>
      </c>
      <c r="AE73" s="1">
        <v>-1.4240388374172843</v>
      </c>
      <c r="AF73" s="1">
        <v>-0.43925884052031439</v>
      </c>
      <c r="AG73" s="1">
        <v>-0.40423097735611435</v>
      </c>
      <c r="AH73" s="1">
        <v>-0.78147693708655419</v>
      </c>
      <c r="AI73" s="1">
        <v>-0.58064119481714438</v>
      </c>
      <c r="AJ73" s="1">
        <v>-0.10963627091673833</v>
      </c>
      <c r="AK73" s="1">
        <v>-0.16356966191404432</v>
      </c>
      <c r="AL73" s="1">
        <v>-1.1681628385622833</v>
      </c>
      <c r="AM73" s="1">
        <v>0.3307993929423737</v>
      </c>
      <c r="AN73" s="1">
        <v>-1.1687426371352143</v>
      </c>
      <c r="AO73" s="1">
        <v>-0.43273362769394419</v>
      </c>
      <c r="AP73" s="1">
        <v>-0.61898874970920437</v>
      </c>
      <c r="AQ73" s="1">
        <v>-0.46139137808335429</v>
      </c>
      <c r="AR73" s="1">
        <v>-1.8931484310943933</v>
      </c>
      <c r="AS73" s="1">
        <v>-2.1417584544907431</v>
      </c>
      <c r="AT73" s="2">
        <v>-1.1890840100638733</v>
      </c>
      <c r="AU73" s="2">
        <v>-0.72652347320735622</v>
      </c>
      <c r="AV73" s="2">
        <v>-1.5421048502301933</v>
      </c>
      <c r="AW73" s="2">
        <v>-1.0878764993891412</v>
      </c>
      <c r="AX73" s="2">
        <v>-0.87091153019206624</v>
      </c>
      <c r="AY73" s="2">
        <v>0.58110443732948669</v>
      </c>
      <c r="AZ73" s="2">
        <v>-0.22496901254864185</v>
      </c>
      <c r="BA73" s="2">
        <v>-1.0322214954687783</v>
      </c>
      <c r="BB73" s="2">
        <v>1.111695099175344</v>
      </c>
      <c r="BC73" s="2">
        <v>-0.95637415814811333</v>
      </c>
      <c r="BD73" s="2">
        <v>1.1320169895782741</v>
      </c>
      <c r="BE73" s="2">
        <v>0.28957741160907013</v>
      </c>
      <c r="BF73" s="2">
        <v>1.1360244074764367</v>
      </c>
      <c r="BG73" s="2">
        <v>0.91766118184425682</v>
      </c>
      <c r="BH73" s="2">
        <v>-1.7122772056689233</v>
      </c>
      <c r="BI73" s="2">
        <v>-2.338278774596553</v>
      </c>
      <c r="BJ73" s="2">
        <v>-3.2515608672810137</v>
      </c>
      <c r="BK73" s="2">
        <v>-0.32736545866228428</v>
      </c>
      <c r="BL73" s="2">
        <v>-6.1251571916441261E-2</v>
      </c>
      <c r="BM73" s="2">
        <v>-0.66334666123098029</v>
      </c>
      <c r="BN73" s="2">
        <v>-2.1689268477883132</v>
      </c>
      <c r="BO73" s="2">
        <v>-1.7293917541309232</v>
      </c>
      <c r="BP73" s="2">
        <v>0.92397087991178672</v>
      </c>
      <c r="BQ73" s="2">
        <v>-1.2352712451194432</v>
      </c>
      <c r="BR73" s="2">
        <v>-1.6232786993476018</v>
      </c>
      <c r="BS73" s="2">
        <v>-1.1224472146317834</v>
      </c>
      <c r="BT73" s="2">
        <v>-1.5693662432594988</v>
      </c>
      <c r="BU73" s="2">
        <v>-1.6384722120571928</v>
      </c>
      <c r="BV73" s="2">
        <v>-2.0150783127115659</v>
      </c>
      <c r="BW73" s="2">
        <v>-2.1490725229583059</v>
      </c>
      <c r="BX73" s="2">
        <v>0.21899803897573311</v>
      </c>
      <c r="BY73" s="2">
        <v>2.6402623209989944</v>
      </c>
      <c r="BZ73" s="2">
        <v>-3.0907769664523759</v>
      </c>
      <c r="CA73" s="2">
        <v>1.5216893588345741</v>
      </c>
      <c r="CB73" s="2">
        <v>0.51003244104824419</v>
      </c>
      <c r="CC73" s="2">
        <v>-1.0374655118656739</v>
      </c>
      <c r="CE73">
        <f t="shared" si="6"/>
        <v>-0.89773696387701385</v>
      </c>
      <c r="CF73">
        <f t="shared" si="7"/>
        <v>-0.67724057033735641</v>
      </c>
      <c r="CG73">
        <f t="shared" si="8"/>
        <v>0.85827007739611294</v>
      </c>
      <c r="CH73">
        <f t="shared" si="9"/>
        <v>0.37339761017182482</v>
      </c>
      <c r="CI73">
        <f t="shared" si="10"/>
        <v>-0.22049639353965741</v>
      </c>
      <c r="CJ73">
        <f t="shared" si="11"/>
        <v>0.42782846595981278</v>
      </c>
      <c r="CK73" t="s">
        <v>110</v>
      </c>
      <c r="CN73" t="s">
        <v>108</v>
      </c>
      <c r="CO73">
        <v>-1.6527799717502702E-2</v>
      </c>
      <c r="CP73">
        <v>3.9482994101334649E-2</v>
      </c>
    </row>
    <row r="74" spans="1:94" x14ac:dyDescent="0.2">
      <c r="A74" t="s">
        <v>111</v>
      </c>
      <c r="B74" s="1">
        <v>0.76664907946374372</v>
      </c>
      <c r="C74" s="1">
        <v>-6.3689649706340279E-2</v>
      </c>
      <c r="D74" s="1">
        <v>2.8242306391607741</v>
      </c>
      <c r="E74" s="1">
        <v>2.4642120191790138</v>
      </c>
      <c r="F74" s="1">
        <v>0.49326281704596076</v>
      </c>
      <c r="G74" s="1">
        <v>0.22468609300610676</v>
      </c>
      <c r="H74" s="1">
        <v>0.43221018510327869</v>
      </c>
      <c r="I74" s="1">
        <v>0.68854973774656369</v>
      </c>
      <c r="J74" s="1">
        <v>0.34792895156034975</v>
      </c>
      <c r="K74" s="1">
        <v>1.3633480883176938</v>
      </c>
      <c r="L74" s="1">
        <v>1.1586870116726338</v>
      </c>
      <c r="M74" s="1">
        <v>-0.5759802454624543</v>
      </c>
      <c r="N74" s="1">
        <v>-0.56283776163990218</v>
      </c>
      <c r="O74" s="1">
        <v>0.17335450612829573</v>
      </c>
      <c r="P74" s="1">
        <v>-0.11751529333624228</v>
      </c>
      <c r="Q74" s="1">
        <v>0.23516697060378289</v>
      </c>
      <c r="R74" s="1">
        <v>0.87132160758515376</v>
      </c>
      <c r="S74" s="1">
        <v>1.1847513117005237</v>
      </c>
      <c r="T74" s="1">
        <v>7.8126202650638743E-2</v>
      </c>
      <c r="U74" s="1">
        <v>0.13564838972892768</v>
      </c>
      <c r="V74" s="1">
        <v>1.2128881377835938</v>
      </c>
      <c r="W74" s="1">
        <v>1.7230861428761937</v>
      </c>
      <c r="X74" s="1">
        <v>9.0678615737177726E-2</v>
      </c>
      <c r="Y74" s="1">
        <v>0.57251952885334378</v>
      </c>
      <c r="Z74" s="1">
        <v>-0.29778655961558709</v>
      </c>
      <c r="AA74" s="1">
        <v>-0.19949445294681445</v>
      </c>
      <c r="AB74" s="1">
        <v>-0.39377016619195571</v>
      </c>
      <c r="AC74" s="1">
        <v>0.80310748488246264</v>
      </c>
      <c r="AD74" s="1">
        <v>-1.4384457564968143</v>
      </c>
      <c r="AE74" s="1">
        <v>-1.0886648831803163</v>
      </c>
      <c r="AF74" s="1">
        <v>-0.21980878150477529</v>
      </c>
      <c r="AG74" s="1">
        <v>0.38944736143206871</v>
      </c>
      <c r="AH74" s="1">
        <v>0.70427329164167363</v>
      </c>
      <c r="AI74" s="1">
        <v>1.0784099483738738</v>
      </c>
      <c r="AJ74" s="1">
        <v>1.7929483953199636</v>
      </c>
      <c r="AK74" s="1">
        <v>1.5681290308093738</v>
      </c>
      <c r="AL74" s="1">
        <v>-1.1975691422387271</v>
      </c>
      <c r="AM74" s="1">
        <v>0.2652734533397807</v>
      </c>
      <c r="AN74" s="1">
        <v>0.34243609322531376</v>
      </c>
      <c r="AO74" s="1">
        <v>0.21886063985535076</v>
      </c>
      <c r="AP74" s="1">
        <v>-0.23565871818366427</v>
      </c>
      <c r="AQ74" s="1">
        <v>-0.22159678479069428</v>
      </c>
      <c r="AR74" s="1">
        <v>0.73015573820791246</v>
      </c>
      <c r="AS74" s="1">
        <v>0.79047973743414257</v>
      </c>
      <c r="AT74" s="2">
        <v>8.4590935473461526E-2</v>
      </c>
      <c r="AU74" s="2">
        <v>1.4218267004843226</v>
      </c>
      <c r="AV74" s="2">
        <v>1.5708760626920726</v>
      </c>
      <c r="AW74" s="2">
        <v>-1.7976090032072474</v>
      </c>
      <c r="AX74" s="2">
        <v>-0.9453635155335024</v>
      </c>
      <c r="AY74" s="2">
        <v>0.12698078041301752</v>
      </c>
      <c r="AZ74" s="2">
        <v>1.7463995780209525</v>
      </c>
      <c r="BA74" s="2">
        <v>1.4005459217111025</v>
      </c>
      <c r="BB74" s="2">
        <v>-1.6067696740804716</v>
      </c>
      <c r="BC74" s="2">
        <v>-0.166775530574377</v>
      </c>
      <c r="BD74" s="2">
        <v>1.7111875393274583</v>
      </c>
      <c r="BE74" s="2">
        <v>0.51352908425116284</v>
      </c>
      <c r="BF74" s="2">
        <v>0.77854875687866265</v>
      </c>
      <c r="BG74" s="2">
        <v>0.55543353992221156</v>
      </c>
      <c r="BH74" s="2">
        <v>0.54428356100270159</v>
      </c>
      <c r="BI74" s="2">
        <v>0.85644455299135247</v>
      </c>
      <c r="BJ74" s="2">
        <v>1.6815435407318124</v>
      </c>
      <c r="BK74" s="2">
        <v>-0.12706202765111746</v>
      </c>
      <c r="BL74" s="2">
        <v>-0.17645913717618744</v>
      </c>
      <c r="BM74" s="2">
        <v>0.50468520339607159</v>
      </c>
      <c r="BN74" s="2">
        <v>0.67897610470576253</v>
      </c>
      <c r="BO74" s="2">
        <v>0.85540303168462262</v>
      </c>
      <c r="BP74" s="2">
        <v>-1.0449801169250634</v>
      </c>
      <c r="BQ74" s="2">
        <v>-0.45485355883532852</v>
      </c>
      <c r="BR74" s="2">
        <v>1.1061490208820302E-2</v>
      </c>
      <c r="BS74" s="2">
        <v>0.77560268547031885</v>
      </c>
      <c r="BT74" s="2">
        <v>0.53735373642272988</v>
      </c>
      <c r="BU74" s="2">
        <v>-1.4368469940355677E-2</v>
      </c>
      <c r="BV74" s="2">
        <v>0.75909756368404424</v>
      </c>
      <c r="BW74" s="2">
        <v>-0.10087151744064871</v>
      </c>
      <c r="BX74" s="2">
        <v>4.5020120495676181</v>
      </c>
      <c r="BY74" s="2">
        <v>-0.86469566474234183</v>
      </c>
      <c r="BZ74" s="2">
        <v>1.2608636615041193</v>
      </c>
      <c r="CA74" s="2">
        <v>-0.4741329086326318</v>
      </c>
      <c r="CB74" s="2">
        <v>-8.9689522306698688E-2</v>
      </c>
      <c r="CC74" s="2">
        <v>-0.32247669228190068</v>
      </c>
      <c r="CE74">
        <f t="shared" si="6"/>
        <v>0.43436384125298583</v>
      </c>
      <c r="CF74">
        <f t="shared" si="7"/>
        <v>0.40808718725601456</v>
      </c>
      <c r="CG74">
        <f t="shared" si="8"/>
        <v>1.0183804676536377</v>
      </c>
      <c r="CH74">
        <f t="shared" si="9"/>
        <v>0.90989707878799697</v>
      </c>
      <c r="CI74">
        <f t="shared" si="10"/>
        <v>2.6276653996971162E-2</v>
      </c>
      <c r="CJ74">
        <f t="shared" si="11"/>
        <v>4.1007729263871112E-2</v>
      </c>
      <c r="CK74" t="s">
        <v>111</v>
      </c>
      <c r="CN74" t="s">
        <v>118</v>
      </c>
      <c r="CO74">
        <v>1.7531159401334883E-2</v>
      </c>
      <c r="CP74">
        <v>3.8736404622247742E-2</v>
      </c>
    </row>
    <row r="75" spans="1:94" x14ac:dyDescent="0.2">
      <c r="A75" t="s">
        <v>112</v>
      </c>
      <c r="B75" s="1">
        <v>-0.89317505144702425</v>
      </c>
      <c r="C75" s="1">
        <v>-1.1390824236508592</v>
      </c>
      <c r="D75" s="1">
        <v>-0.7077834648704282</v>
      </c>
      <c r="E75" s="1">
        <v>-1.0493697940998112</v>
      </c>
      <c r="F75" s="1">
        <v>-1.4505262085334192</v>
      </c>
      <c r="G75" s="1">
        <v>-1.0235335670913253</v>
      </c>
      <c r="H75" s="1">
        <v>-5.7355463310872212E-2</v>
      </c>
      <c r="I75" s="1">
        <v>-0.59158521609805526</v>
      </c>
      <c r="J75" s="1">
        <v>-1.0968462382212012</v>
      </c>
      <c r="K75" s="1">
        <v>-0.67584727280368317</v>
      </c>
      <c r="L75" s="1">
        <v>-0.98113467530590626</v>
      </c>
      <c r="M75" s="1">
        <v>-0.7004630423874012</v>
      </c>
      <c r="N75" s="1">
        <v>-1.3494977013007303</v>
      </c>
      <c r="O75" s="1">
        <v>0.11061059644731774</v>
      </c>
      <c r="P75" s="1">
        <v>-0.91298007118848623</v>
      </c>
      <c r="Q75" s="1">
        <v>-1.070673316003758</v>
      </c>
      <c r="R75" s="1">
        <v>-0.33129119328112921</v>
      </c>
      <c r="S75" s="1">
        <v>-0.67721364053239419</v>
      </c>
      <c r="T75" s="1">
        <v>-0.51516718899723069</v>
      </c>
      <c r="U75" s="1">
        <v>-0.45138598908410599</v>
      </c>
      <c r="V75" s="1">
        <v>-0.46414660968105431</v>
      </c>
      <c r="W75" s="1">
        <v>-0.24396541856005721</v>
      </c>
      <c r="X75" s="1">
        <v>-0.67751789715392219</v>
      </c>
      <c r="Y75" s="1">
        <v>-0.38017557303776622</v>
      </c>
      <c r="Z75" s="1">
        <v>-0.98463717848702192</v>
      </c>
      <c r="AA75" s="1">
        <v>-0.73758085787450889</v>
      </c>
      <c r="AB75" s="1">
        <v>-1.2259564706551367</v>
      </c>
      <c r="AC75" s="1">
        <v>-1.3922950683289468</v>
      </c>
      <c r="AD75" s="1">
        <v>-0.78996026244534923</v>
      </c>
      <c r="AE75" s="1">
        <v>-0.74921693965802927</v>
      </c>
      <c r="AF75" s="1">
        <v>-0.71917668189118522</v>
      </c>
      <c r="AG75" s="1">
        <v>-0.92115093134056414</v>
      </c>
      <c r="AH75" s="1">
        <v>-0.66141898057866721</v>
      </c>
      <c r="AI75" s="1">
        <v>-0.36521056506319521</v>
      </c>
      <c r="AJ75" s="1">
        <v>-1.4774379393947212E-2</v>
      </c>
      <c r="AK75" s="1">
        <v>-0.26181036679813818</v>
      </c>
      <c r="AL75" s="1">
        <v>-2.2432923328269778</v>
      </c>
      <c r="AM75" s="1">
        <v>-0.35091615026873424</v>
      </c>
      <c r="AN75" s="1">
        <v>0.10949320642521077</v>
      </c>
      <c r="AO75" s="1">
        <v>0.55925489666944173</v>
      </c>
      <c r="AP75" s="1">
        <v>0.39019271741463679</v>
      </c>
      <c r="AQ75" s="1">
        <v>-0.66271831879741727</v>
      </c>
      <c r="AR75" s="1">
        <v>-0.97972306522806696</v>
      </c>
      <c r="AS75" s="1">
        <v>-0.79378126159972695</v>
      </c>
      <c r="AT75" s="2">
        <v>-0.43542916129944786</v>
      </c>
      <c r="AU75" s="2">
        <v>-6.734735928861485E-2</v>
      </c>
      <c r="AV75" s="2">
        <v>-1.2717031900600468</v>
      </c>
      <c r="AW75" s="2">
        <v>-1.013860588746037</v>
      </c>
      <c r="AX75" s="2">
        <v>2.1818057399626629</v>
      </c>
      <c r="AY75" s="2">
        <v>1.3756607067986333</v>
      </c>
      <c r="AZ75" s="2">
        <v>-0.24137440294824886</v>
      </c>
      <c r="BA75" s="2">
        <v>-0.81457598011261678</v>
      </c>
      <c r="BB75" s="2">
        <v>-2.280321743022109</v>
      </c>
      <c r="BC75" s="2">
        <v>-0.73550309842243289</v>
      </c>
      <c r="BD75" s="2">
        <v>-1.1407209807305789</v>
      </c>
      <c r="BE75" s="2">
        <v>-0.93171920737832892</v>
      </c>
      <c r="BF75" s="2">
        <v>-0.73775795446120185</v>
      </c>
      <c r="BG75" s="2">
        <v>-1.0707795794676267</v>
      </c>
      <c r="BH75" s="2">
        <v>-1.5512462773407569</v>
      </c>
      <c r="BI75" s="2">
        <v>-0.88496329933494688</v>
      </c>
      <c r="BJ75" s="2">
        <v>-0.42823133323949691</v>
      </c>
      <c r="BK75" s="2">
        <v>-1.345055531939737</v>
      </c>
      <c r="BL75" s="2">
        <v>2.0730639990937432</v>
      </c>
      <c r="BM75" s="2">
        <v>-0.70651107356297083</v>
      </c>
      <c r="BN75" s="2">
        <v>-0.64943002835261188</v>
      </c>
      <c r="BO75" s="2">
        <v>-1.1648870320570071</v>
      </c>
      <c r="BP75" s="2">
        <v>-1.0953074071316267</v>
      </c>
      <c r="BQ75" s="2">
        <v>-1.0973426013690171</v>
      </c>
      <c r="BR75" s="2">
        <v>1.3990076878929003E-2</v>
      </c>
      <c r="BS75" s="2">
        <v>-0.87709836097344096</v>
      </c>
      <c r="BT75" s="2">
        <v>-0.45811767431772599</v>
      </c>
      <c r="BU75" s="2">
        <v>-0.37526853500163304</v>
      </c>
      <c r="BV75" s="2">
        <v>-0.73379630033813892</v>
      </c>
      <c r="BW75" s="2">
        <v>-1.0200767436350291</v>
      </c>
      <c r="BX75" s="2">
        <v>-0.87376729396918895</v>
      </c>
      <c r="BY75" s="2">
        <v>1.3418536162237309</v>
      </c>
      <c r="BZ75" s="2">
        <v>-1.1306140682322989</v>
      </c>
      <c r="CA75" s="2">
        <v>-0.87114666222848891</v>
      </c>
      <c r="CB75" s="2">
        <v>-2.3470457924709391</v>
      </c>
      <c r="CC75" s="2">
        <v>-1.7763284805056392</v>
      </c>
      <c r="CE75">
        <f t="shared" si="6"/>
        <v>-0.68465421388453718</v>
      </c>
      <c r="CF75">
        <f t="shared" si="7"/>
        <v>-0.64280426674945235</v>
      </c>
      <c r="CG75">
        <f t="shared" si="8"/>
        <v>0.97140852524510868</v>
      </c>
      <c r="CH75">
        <f t="shared" si="9"/>
        <v>0.82077077528966147</v>
      </c>
      <c r="CI75">
        <f t="shared" si="10"/>
        <v>-4.1849947135084921E-2</v>
      </c>
      <c r="CJ75">
        <f t="shared" si="11"/>
        <v>8.5778115629424195E-2</v>
      </c>
      <c r="CK75" t="s">
        <v>112</v>
      </c>
      <c r="CN75" t="s">
        <v>95</v>
      </c>
      <c r="CO75">
        <v>1.7188030838751964E-2</v>
      </c>
      <c r="CP75">
        <v>3.8168959475011678E-2</v>
      </c>
    </row>
    <row r="76" spans="1:94" x14ac:dyDescent="0.2">
      <c r="A76" t="s">
        <v>113</v>
      </c>
      <c r="B76" s="1">
        <v>-0.94122963695892947</v>
      </c>
      <c r="C76" s="1">
        <v>-0.7692469045245105</v>
      </c>
      <c r="D76" s="1">
        <v>-8.9374068794275563E-2</v>
      </c>
      <c r="E76" s="1">
        <v>-0.55174545733987157</v>
      </c>
      <c r="F76" s="1">
        <v>-1.3687845208699525</v>
      </c>
      <c r="G76" s="1">
        <v>-0.41877448079009882</v>
      </c>
      <c r="H76" s="1">
        <v>-0.22172632626200553</v>
      </c>
      <c r="I76" s="1">
        <v>-0.48931992988187173</v>
      </c>
      <c r="J76" s="1">
        <v>-0.33296234942382952</v>
      </c>
      <c r="K76" s="1">
        <v>-0.25757395016733853</v>
      </c>
      <c r="L76" s="1">
        <v>-0.40294899554012314</v>
      </c>
      <c r="M76" s="1">
        <v>0.33296866046304846</v>
      </c>
      <c r="N76" s="1">
        <v>-1.3776386510555956</v>
      </c>
      <c r="O76" s="1">
        <v>-0.24098673597733053</v>
      </c>
      <c r="P76" s="1">
        <v>-0.11908256983702453</v>
      </c>
      <c r="Q76" s="1">
        <v>-0.74203993571740567</v>
      </c>
      <c r="R76" s="1">
        <v>-0.12004343942499052</v>
      </c>
      <c r="S76" s="1">
        <v>-9.4037226565479526E-2</v>
      </c>
      <c r="T76" s="1">
        <v>-0.42742651992994174</v>
      </c>
      <c r="U76" s="1">
        <v>-0.60222341533430057</v>
      </c>
      <c r="V76" s="1">
        <v>-0.41309079621821743</v>
      </c>
      <c r="W76" s="1">
        <v>-0.16775268908213453</v>
      </c>
      <c r="X76" s="1">
        <v>-0.44545327815614505</v>
      </c>
      <c r="Y76" s="1">
        <v>4.7989714923062476E-2</v>
      </c>
      <c r="Z76" s="1">
        <v>-0.37875293823253858</v>
      </c>
      <c r="AA76" s="1">
        <v>0.36985203560630131</v>
      </c>
      <c r="AB76" s="1">
        <v>-0.9928889958017636</v>
      </c>
      <c r="AC76" s="1">
        <v>-0.97432059073803379</v>
      </c>
      <c r="AD76" s="1">
        <v>-0.76025022273485154</v>
      </c>
      <c r="AE76" s="1">
        <v>-0.49992182898552046</v>
      </c>
      <c r="AF76" s="1">
        <v>-0.52545532819834451</v>
      </c>
      <c r="AG76" s="1">
        <v>-1.0214294792819416</v>
      </c>
      <c r="AH76" s="1">
        <v>-0.61286632792381557</v>
      </c>
      <c r="AI76" s="1">
        <v>3.5360132278512479E-2</v>
      </c>
      <c r="AJ76" s="1">
        <v>0.59768000733907356</v>
      </c>
      <c r="AK76" s="1">
        <v>0.76128807448419344</v>
      </c>
      <c r="AL76" s="1">
        <v>-1.0481383832845657</v>
      </c>
      <c r="AM76" s="1">
        <v>-0.60538275924274754</v>
      </c>
      <c r="AN76" s="1">
        <v>0.1302790098291105</v>
      </c>
      <c r="AO76" s="1">
        <v>0.48228141768771243</v>
      </c>
      <c r="AP76" s="1">
        <v>4.4998802703124452E-2</v>
      </c>
      <c r="AQ76" s="1">
        <v>-6.0035862908403514E-2</v>
      </c>
      <c r="AR76" s="1">
        <v>-1.3182135883851238</v>
      </c>
      <c r="AS76" s="1">
        <v>-0.97973980238924374</v>
      </c>
      <c r="AT76" s="2">
        <v>0.42446038844158729</v>
      </c>
      <c r="AU76" s="2">
        <v>5.2885446321413607E-2</v>
      </c>
      <c r="AV76" s="2">
        <v>-0.97540497737995369</v>
      </c>
      <c r="AW76" s="2">
        <v>-1.1400209475511636</v>
      </c>
      <c r="AX76" s="2">
        <v>0.46813751353105032</v>
      </c>
      <c r="AY76" s="2">
        <v>-0.90367638325001864</v>
      </c>
      <c r="AZ76" s="2">
        <v>-0.11905578254574969</v>
      </c>
      <c r="BA76" s="2">
        <v>-0.37637164240793369</v>
      </c>
      <c r="BB76" s="2">
        <v>-1.2394453440948021</v>
      </c>
      <c r="BC76" s="2">
        <v>-0.43500163238037565</v>
      </c>
      <c r="BD76" s="2">
        <v>-0.674520253768365</v>
      </c>
      <c r="BE76" s="2">
        <v>-0.92990806735039211</v>
      </c>
      <c r="BF76" s="2">
        <v>2.6877622790718161</v>
      </c>
      <c r="BG76" s="2">
        <v>0.44564664775168428</v>
      </c>
      <c r="BH76" s="2">
        <v>-1.2301010235702337</v>
      </c>
      <c r="BI76" s="2">
        <v>-1.5705638092597738</v>
      </c>
      <c r="BJ76" s="2">
        <v>-1.3030213653627638</v>
      </c>
      <c r="BK76" s="2">
        <v>-0.97504208737051379</v>
      </c>
      <c r="BL76" s="2">
        <v>-0.73501520355173466</v>
      </c>
      <c r="BM76" s="2">
        <v>-0.54663110114763969</v>
      </c>
      <c r="BN76" s="2">
        <v>0.13827389351999142</v>
      </c>
      <c r="BO76" s="2">
        <v>0.39562260793542431</v>
      </c>
      <c r="BP76" s="2">
        <v>-0.9158431868993836</v>
      </c>
      <c r="BQ76" s="2">
        <v>-0.25495536557048371</v>
      </c>
      <c r="BR76" s="2">
        <v>-0.27696945508075893</v>
      </c>
      <c r="BS76" s="2">
        <v>0.23283969918866937</v>
      </c>
      <c r="BT76" s="2">
        <v>-0.52437046029021706</v>
      </c>
      <c r="BU76" s="2">
        <v>-0.73926153014399199</v>
      </c>
      <c r="BV76" s="2">
        <v>-0.46220255881578604</v>
      </c>
      <c r="BW76" s="2">
        <v>-0.98472063741736204</v>
      </c>
      <c r="BX76" s="2">
        <v>-0.37702610069428594</v>
      </c>
      <c r="BY76" s="2">
        <v>-0.16784726512746001</v>
      </c>
      <c r="BZ76" s="2">
        <v>-8.015348532586497E-2</v>
      </c>
      <c r="CA76" s="2">
        <v>0.21087245227638063</v>
      </c>
      <c r="CB76" s="2">
        <v>1.5507928168590379</v>
      </c>
      <c r="CC76" s="2">
        <v>-0.60915053609042502</v>
      </c>
      <c r="CE76">
        <f t="shared" ref="CE76:CE89" si="12">AVERAGE(B76:AS76)</f>
        <v>-0.39927636660554833</v>
      </c>
      <c r="CF76">
        <f t="shared" ref="CF76:CF89" si="13">AVERAGE(AT76:CC76)</f>
        <v>-0.33163851270973266</v>
      </c>
      <c r="CG76">
        <f t="shared" ref="CG76:CG107" si="14">2^(CE76 - CF76)</f>
        <v>0.9541990440572703</v>
      </c>
      <c r="CH76">
        <f t="shared" ref="CH76:CH89" si="15">_xlfn.T.TEST(B76:AS76,AT76:CC76, 2, 3)</f>
        <v>0.66915802723606121</v>
      </c>
      <c r="CI76">
        <f t="shared" ref="CI76:CI89" si="16">LOG(CG76,2)</f>
        <v>-6.7637853895815545E-2</v>
      </c>
      <c r="CJ76">
        <f t="shared" ref="CJ76:CJ89" si="17">-LOG(CH76,10)</f>
        <v>0.17447130786422632</v>
      </c>
      <c r="CK76" t="s">
        <v>113</v>
      </c>
      <c r="CN76" t="s">
        <v>51</v>
      </c>
      <c r="CO76">
        <v>2.1258454209938878E-2</v>
      </c>
      <c r="CP76">
        <v>3.1195545257276462E-2</v>
      </c>
    </row>
    <row r="77" spans="1:94" x14ac:dyDescent="0.2">
      <c r="A77" t="s">
        <v>114</v>
      </c>
      <c r="B77" s="1">
        <v>-1.1342436371308939</v>
      </c>
      <c r="C77" s="1">
        <v>-0.837803802122567</v>
      </c>
      <c r="D77" s="1">
        <v>-1.032774273739635</v>
      </c>
      <c r="E77" s="1">
        <v>-1.406158722454856</v>
      </c>
      <c r="F77" s="1">
        <v>0.31338464015841494</v>
      </c>
      <c r="G77" s="1">
        <v>-1.074470808609447</v>
      </c>
      <c r="H77" s="1">
        <v>-0.12803916409744803</v>
      </c>
      <c r="I77" s="1">
        <v>-0.4965909094360208</v>
      </c>
      <c r="J77" s="1">
        <v>-1.007161641954845</v>
      </c>
      <c r="K77" s="1">
        <v>-0.33554341505400642</v>
      </c>
      <c r="L77" s="1">
        <v>-1.357062427099972</v>
      </c>
      <c r="M77" s="1">
        <v>-1.6488776135627461</v>
      </c>
      <c r="N77" s="1">
        <v>-1.01291423364461</v>
      </c>
      <c r="O77" s="1">
        <v>-0.3423593766972623</v>
      </c>
      <c r="P77" s="1">
        <v>-0.63630507487185994</v>
      </c>
      <c r="Q77" s="1">
        <v>-0.92886544723470998</v>
      </c>
      <c r="R77" s="1">
        <v>-0.83180653034754592</v>
      </c>
      <c r="S77" s="1">
        <v>-0.31105526376243542</v>
      </c>
      <c r="T77" s="1">
        <v>-0.62803589126818604</v>
      </c>
      <c r="U77" s="1">
        <v>-0.65029946035419206</v>
      </c>
      <c r="V77" s="1">
        <v>-0.51566755278474397</v>
      </c>
      <c r="W77" s="1">
        <v>-0.4805166055924398</v>
      </c>
      <c r="X77" s="1">
        <v>-0.589894036772596</v>
      </c>
      <c r="Y77" s="1">
        <v>-0.52081022832152002</v>
      </c>
      <c r="Z77" s="1">
        <v>-0.60187281337410392</v>
      </c>
      <c r="AA77" s="1">
        <v>0.13723518118575428</v>
      </c>
      <c r="AB77" s="1">
        <v>-1.0103953404442954</v>
      </c>
      <c r="AC77" s="1">
        <v>0.66214944691664779</v>
      </c>
      <c r="AD77" s="1">
        <v>-0.78668822986577402</v>
      </c>
      <c r="AE77" s="1">
        <v>-0.96431001051764997</v>
      </c>
      <c r="AF77" s="1">
        <v>-0.93448765961964197</v>
      </c>
      <c r="AG77" s="1">
        <v>-1.0045984199536981</v>
      </c>
      <c r="AH77" s="1">
        <v>-0.593258852898218</v>
      </c>
      <c r="AI77" s="1">
        <v>-5.600416330519703E-2</v>
      </c>
      <c r="AJ77" s="1">
        <v>0.19235906532462599</v>
      </c>
      <c r="AK77" s="1">
        <v>0.16884371900223394</v>
      </c>
      <c r="AL77" s="1">
        <v>-1.5719680056060599</v>
      </c>
      <c r="AM77" s="1">
        <v>-0.75790173242863002</v>
      </c>
      <c r="AN77" s="1">
        <v>-0.21953296669404901</v>
      </c>
      <c r="AO77" s="1">
        <v>-4.0251609040830028E-3</v>
      </c>
      <c r="AP77" s="1">
        <v>-0.30949737605977262</v>
      </c>
      <c r="AQ77" s="1">
        <v>-0.66000366612469796</v>
      </c>
      <c r="AR77" s="1">
        <v>-1.0293738108468551</v>
      </c>
      <c r="AS77" s="1">
        <v>2.3580061507873784E-2</v>
      </c>
      <c r="AT77" s="2">
        <v>0.2250679103890712</v>
      </c>
      <c r="AU77" s="2">
        <v>0.23873028535750329</v>
      </c>
      <c r="AV77" s="2">
        <v>-1.4901579131410654</v>
      </c>
      <c r="AW77" s="2">
        <v>-1.5580472643041952</v>
      </c>
      <c r="AX77" s="2">
        <v>-0.39489429862268821</v>
      </c>
      <c r="AY77" s="2">
        <v>-0.14022221575523119</v>
      </c>
      <c r="AZ77" s="2">
        <v>0.14122540517732207</v>
      </c>
      <c r="BA77" s="2">
        <v>0.65649291122402675</v>
      </c>
      <c r="BB77" s="2">
        <v>-0.82853431593327398</v>
      </c>
      <c r="BC77" s="2">
        <v>-0.50998406628126491</v>
      </c>
      <c r="BD77" s="2">
        <v>-0.33640190398620096</v>
      </c>
      <c r="BE77" s="2">
        <v>0.20114187914863207</v>
      </c>
      <c r="BF77" s="2">
        <v>-0.70802598693787822</v>
      </c>
      <c r="BG77" s="2">
        <v>0.37407044689713376</v>
      </c>
      <c r="BH77" s="2">
        <v>-1.5767645070704153</v>
      </c>
      <c r="BI77" s="2" t="s">
        <v>67</v>
      </c>
      <c r="BJ77" s="2">
        <v>-1.9940849895617752</v>
      </c>
      <c r="BK77" s="2">
        <v>0.2075372716715575</v>
      </c>
      <c r="BL77" s="2">
        <v>-0.55078622695192425</v>
      </c>
      <c r="BM77" s="2">
        <v>-0.2248646614566242</v>
      </c>
      <c r="BN77" s="2">
        <v>-0.4171808476470672</v>
      </c>
      <c r="BO77" s="2">
        <v>5.4391443056145794E-2</v>
      </c>
      <c r="BP77" s="2">
        <v>-1.0123571026113054</v>
      </c>
      <c r="BQ77" s="2">
        <v>-0.90851812192929515</v>
      </c>
      <c r="BR77" s="2">
        <v>-0.33697127770613888</v>
      </c>
      <c r="BS77" s="2">
        <v>0.21295159207367348</v>
      </c>
      <c r="BT77" s="2">
        <v>-0.63502147481224591</v>
      </c>
      <c r="BU77" s="2">
        <v>4.7324275564020746E-3</v>
      </c>
      <c r="BV77" s="2">
        <v>-0.46984883828754798</v>
      </c>
      <c r="BW77" s="2">
        <v>-1.4054651278899439</v>
      </c>
      <c r="BX77" s="2">
        <v>-1.051005089877834</v>
      </c>
      <c r="BY77" s="2">
        <v>-1.5267921217389038</v>
      </c>
      <c r="BZ77" s="2">
        <v>-0.31342253351523397</v>
      </c>
      <c r="CA77" s="2">
        <v>-3.174383229056793E-2</v>
      </c>
      <c r="CB77" s="2">
        <v>-3.7750328245697906E-2</v>
      </c>
      <c r="CC77" s="2">
        <v>-1.083156246706324</v>
      </c>
      <c r="CE77">
        <f t="shared" si="12"/>
        <v>-0.61167323207867508</v>
      </c>
      <c r="CF77">
        <f t="shared" si="13"/>
        <v>-0.49216170630597639</v>
      </c>
      <c r="CG77">
        <f t="shared" si="14"/>
        <v>0.9204992646821033</v>
      </c>
      <c r="CH77">
        <f t="shared" si="15"/>
        <v>0.38382174401169222</v>
      </c>
      <c r="CI77">
        <f t="shared" si="16"/>
        <v>-0.11951152577269852</v>
      </c>
      <c r="CJ77">
        <f t="shared" si="17"/>
        <v>0.41587042554426934</v>
      </c>
      <c r="CK77" t="s">
        <v>114</v>
      </c>
      <c r="CN77" t="s">
        <v>61</v>
      </c>
      <c r="CO77">
        <v>1.7029535638692458E-2</v>
      </c>
      <c r="CP77">
        <v>2.027331292871172E-2</v>
      </c>
    </row>
    <row r="78" spans="1:94" x14ac:dyDescent="0.2">
      <c r="A78" t="s">
        <v>115</v>
      </c>
      <c r="B78" s="1">
        <v>-1.0119140790096059</v>
      </c>
      <c r="C78" s="1">
        <v>-0.68923915150184278</v>
      </c>
      <c r="D78" s="1">
        <v>-1.1278650174578377</v>
      </c>
      <c r="E78" s="1">
        <v>-1.3694444749026577</v>
      </c>
      <c r="F78" s="1">
        <v>-0.48524409136148761</v>
      </c>
      <c r="G78" s="1">
        <v>-0.87925075066454483</v>
      </c>
      <c r="H78" s="1">
        <v>-0.38281216961549114</v>
      </c>
      <c r="I78" s="1">
        <v>-0.87724693334607984</v>
      </c>
      <c r="J78" s="1">
        <v>-0.45107603273174363</v>
      </c>
      <c r="K78" s="1">
        <v>-0.32117191149930779</v>
      </c>
      <c r="L78" s="1">
        <v>-1.4676409508584789</v>
      </c>
      <c r="M78" s="1">
        <v>-1.8327676927598189</v>
      </c>
      <c r="N78" s="1">
        <v>-0.1956394369333648</v>
      </c>
      <c r="O78" s="1">
        <v>-0.48714461634583534</v>
      </c>
      <c r="P78" s="1">
        <v>-0.25081576649578985</v>
      </c>
      <c r="Q78" s="1">
        <v>-0.51987417911776912</v>
      </c>
      <c r="R78" s="1">
        <v>-5.2946283249651838E-2</v>
      </c>
      <c r="S78" s="1">
        <v>-0.68316986354417275</v>
      </c>
      <c r="T78" s="1">
        <v>-0.40249727398023982</v>
      </c>
      <c r="U78" s="1">
        <v>-0.28645187782290882</v>
      </c>
      <c r="V78" s="1">
        <v>-0.22111495043268781</v>
      </c>
      <c r="W78" s="1">
        <v>-0.2646260978467978</v>
      </c>
      <c r="X78" s="1">
        <v>-0.75899994917537883</v>
      </c>
      <c r="Y78" s="1">
        <v>-0.59164023510481878</v>
      </c>
      <c r="Z78" s="1">
        <v>-0.87792112610625817</v>
      </c>
      <c r="AA78" s="1">
        <v>8.5134921004642122E-2</v>
      </c>
      <c r="AB78" s="1">
        <v>-1.0040949220181838</v>
      </c>
      <c r="AC78" s="1">
        <v>-0.40570251423893589</v>
      </c>
      <c r="AD78" s="1">
        <v>-0.92267459095090176</v>
      </c>
      <c r="AE78" s="1">
        <v>-1.1797606844219017</v>
      </c>
      <c r="AF78" s="1">
        <v>-0.77511985003616579</v>
      </c>
      <c r="AG78" s="1">
        <v>-1.152154585855143</v>
      </c>
      <c r="AH78" s="1">
        <v>-0.78040894360490576</v>
      </c>
      <c r="AI78" s="1">
        <v>7.0450167969076216E-2</v>
      </c>
      <c r="AJ78" s="1">
        <v>-8.3715922185958802E-2</v>
      </c>
      <c r="AK78" s="1">
        <v>0.30104103820419015</v>
      </c>
      <c r="AL78" s="1">
        <v>-1.8405089637171783</v>
      </c>
      <c r="AM78" s="1">
        <v>-0.62155293877527185</v>
      </c>
      <c r="AN78" s="1">
        <v>-6.2449771144209798E-2</v>
      </c>
      <c r="AO78" s="1">
        <v>0.32685815067187618</v>
      </c>
      <c r="AP78" s="1">
        <v>-0.16812034938950382</v>
      </c>
      <c r="AQ78" s="1">
        <v>-0.533902312580953</v>
      </c>
      <c r="AR78" s="1">
        <v>-0.61502045095372282</v>
      </c>
      <c r="AS78" s="1">
        <v>-0.65883153979395292</v>
      </c>
      <c r="AT78" s="2">
        <v>0.26113643535713393</v>
      </c>
      <c r="AU78" s="2">
        <v>-9.233693183834879E-3</v>
      </c>
      <c r="AV78" s="2">
        <v>-1.1820652094279338</v>
      </c>
      <c r="AW78" s="2">
        <v>-1.131170993885724</v>
      </c>
      <c r="AX78" s="2">
        <v>-0.95686701709600386</v>
      </c>
      <c r="AY78" s="2">
        <v>-1.064084003991314</v>
      </c>
      <c r="AZ78" s="2">
        <v>-0.68953426126378992</v>
      </c>
      <c r="BA78" s="2">
        <v>-0.21394145138215687</v>
      </c>
      <c r="BB78" s="2">
        <v>-1.3977061446722883</v>
      </c>
      <c r="BC78" s="2">
        <v>-1.0219261049565183</v>
      </c>
      <c r="BD78" s="2">
        <v>-4.7074352096574346E-2</v>
      </c>
      <c r="BE78" s="2">
        <v>-9.1652448033797351E-2</v>
      </c>
      <c r="BF78" s="2">
        <v>-0.49943339758995586</v>
      </c>
      <c r="BG78" s="2">
        <v>0.43954472636369313</v>
      </c>
      <c r="BH78" s="2">
        <v>-0.73226250456807684</v>
      </c>
      <c r="BI78" s="2">
        <v>-1.9776099653388837</v>
      </c>
      <c r="BJ78" s="2">
        <v>-1.4409492573554239</v>
      </c>
      <c r="BK78" s="2">
        <v>-0.52437730808695782</v>
      </c>
      <c r="BL78" s="2">
        <v>-1.4394000034135439</v>
      </c>
      <c r="BM78" s="2">
        <v>-0.39591085192276187</v>
      </c>
      <c r="BN78" s="2">
        <v>-0.41778635172932987</v>
      </c>
      <c r="BO78" s="2">
        <v>-0.96186920527522379</v>
      </c>
      <c r="BP78" s="2">
        <v>-0.94550463990121392</v>
      </c>
      <c r="BQ78" s="2">
        <v>-0.3983171938670339</v>
      </c>
      <c r="BR78" s="2">
        <v>-0.10203243141985635</v>
      </c>
      <c r="BS78" s="2">
        <v>0.32525639978035487</v>
      </c>
      <c r="BT78" s="2">
        <v>-0.58182631683689134</v>
      </c>
      <c r="BU78" s="2">
        <v>-0.71835985245947531</v>
      </c>
      <c r="BV78" s="2">
        <v>1.2894500831971318</v>
      </c>
      <c r="BW78" s="2">
        <v>-1.3568197360330183</v>
      </c>
      <c r="BX78" s="2">
        <v>-0.70023024513306631</v>
      </c>
      <c r="BY78" s="2">
        <v>-2.2024109306577184</v>
      </c>
      <c r="BZ78" s="2">
        <v>-0.3742878102325643</v>
      </c>
      <c r="CA78" s="2">
        <v>-0.17141752844539732</v>
      </c>
      <c r="CB78" s="2">
        <v>-0.38265452854089332</v>
      </c>
      <c r="CC78" s="2">
        <v>-0.51758811237174229</v>
      </c>
      <c r="CE78">
        <f t="shared" si="12"/>
        <v>-0.60247838576549251</v>
      </c>
      <c r="CF78">
        <f t="shared" si="13"/>
        <v>-0.62030322795751802</v>
      </c>
      <c r="CG78">
        <f t="shared" si="14"/>
        <v>1.0124318803912555</v>
      </c>
      <c r="CH78">
        <f t="shared" si="15"/>
        <v>0.89673333439188818</v>
      </c>
      <c r="CI78">
        <f t="shared" si="16"/>
        <v>1.7824842192025493E-2</v>
      </c>
      <c r="CJ78">
        <f t="shared" si="17"/>
        <v>4.7336685852326393E-2</v>
      </c>
      <c r="CK78" t="s">
        <v>115</v>
      </c>
      <c r="CN78" t="s">
        <v>58</v>
      </c>
      <c r="CO78">
        <v>9.9023711620327796E-3</v>
      </c>
      <c r="CP78">
        <v>1.9703835335952723E-2</v>
      </c>
    </row>
    <row r="79" spans="1:94" x14ac:dyDescent="0.2">
      <c r="A79" t="s">
        <v>116</v>
      </c>
      <c r="B79" s="1">
        <v>0.78921961612674185</v>
      </c>
      <c r="C79" s="1">
        <v>-0.26620569150245921</v>
      </c>
      <c r="D79" s="1">
        <v>-0.32860120814366323</v>
      </c>
      <c r="E79" s="1">
        <v>-0.37684012436601344</v>
      </c>
      <c r="F79" s="1">
        <v>1.7979855230910116</v>
      </c>
      <c r="G79" s="1">
        <v>0.11595968203517781</v>
      </c>
      <c r="H79" s="1">
        <v>0.20804537086461283</v>
      </c>
      <c r="I79" s="1">
        <v>0.37291385053077575</v>
      </c>
      <c r="J79" s="1">
        <v>0.5114950202439108</v>
      </c>
      <c r="K79" s="1">
        <v>1.1323087098779716</v>
      </c>
      <c r="L79" s="1">
        <v>2.229549976731876E-2</v>
      </c>
      <c r="M79" s="1">
        <v>-1.8985024438799183</v>
      </c>
      <c r="N79" s="1">
        <v>-0.14592781408611022</v>
      </c>
      <c r="O79" s="1">
        <v>0.31766905567100878</v>
      </c>
      <c r="P79" s="1">
        <v>-0.1544790173629742</v>
      </c>
      <c r="Q79" s="1">
        <v>-8.6785149426721997E-2</v>
      </c>
      <c r="R79" s="1">
        <v>0.46834141030951482</v>
      </c>
      <c r="S79" s="1">
        <v>0.20549091392533581</v>
      </c>
      <c r="T79" s="1">
        <v>0.6645737201564218</v>
      </c>
      <c r="U79" s="1">
        <v>0.46848147815438279</v>
      </c>
      <c r="V79" s="1">
        <v>0.27751888214182174</v>
      </c>
      <c r="W79" s="1">
        <v>0.33812631442299179</v>
      </c>
      <c r="X79" s="1">
        <v>-0.2206355519260382</v>
      </c>
      <c r="Y79" s="1">
        <v>0.37049274098512475</v>
      </c>
      <c r="Z79" s="1">
        <v>-0.59549886645221095</v>
      </c>
      <c r="AA79" s="1">
        <v>-0.91233550345290282</v>
      </c>
      <c r="AB79" s="1">
        <v>-0.55363687912288984</v>
      </c>
      <c r="AC79" s="1">
        <v>-0.69144930538439686</v>
      </c>
      <c r="AD79" s="1">
        <v>-1.2825755914703683</v>
      </c>
      <c r="AE79" s="1">
        <v>-0.28586034309780317</v>
      </c>
      <c r="AF79" s="1">
        <v>-8.614301054325324E-2</v>
      </c>
      <c r="AG79" s="1">
        <v>7.9454629755987827E-2</v>
      </c>
      <c r="AH79" s="1">
        <v>0.45316725712413475</v>
      </c>
      <c r="AI79" s="1">
        <v>0.74021375722737182</v>
      </c>
      <c r="AJ79" s="1">
        <v>0.66965853787719187</v>
      </c>
      <c r="AK79" s="1">
        <v>0.94591147358804173</v>
      </c>
      <c r="AL79" s="1">
        <v>-1.908551709400901</v>
      </c>
      <c r="AM79" s="1">
        <v>0.15260275743705576</v>
      </c>
      <c r="AN79" s="1">
        <v>0.20273424173782384</v>
      </c>
      <c r="AO79" s="1">
        <v>0.66263193321692182</v>
      </c>
      <c r="AP79" s="1">
        <v>-0.55193525825665835</v>
      </c>
      <c r="AQ79" s="1">
        <v>-0.40160659248926223</v>
      </c>
      <c r="AR79" s="1">
        <v>-0.11083016268252792</v>
      </c>
      <c r="AS79" s="1">
        <v>1.7588309025511339E-3</v>
      </c>
      <c r="AT79" s="2">
        <v>-6.7159797528703963E-2</v>
      </c>
      <c r="AU79" s="2">
        <v>0.16230352493384612</v>
      </c>
      <c r="AV79" s="2">
        <v>-0.44588194979596085</v>
      </c>
      <c r="AW79" s="2">
        <v>-0.77589607055756282</v>
      </c>
      <c r="AX79" s="2">
        <v>3.2062728730740528</v>
      </c>
      <c r="AY79" s="2">
        <v>2.1241445218708233</v>
      </c>
      <c r="AZ79" s="2">
        <v>7.6054415904053124E-2</v>
      </c>
      <c r="BA79" s="2">
        <v>0.44669824944076519</v>
      </c>
      <c r="BB79" s="2">
        <v>-0.82118893953714978</v>
      </c>
      <c r="BC79" s="2">
        <v>0.87028270773829508</v>
      </c>
      <c r="BD79" s="2">
        <v>0.2242756175847162</v>
      </c>
      <c r="BE79" s="2">
        <v>-0.17738986705368776</v>
      </c>
      <c r="BF79" s="2">
        <v>0.17997271320440114</v>
      </c>
      <c r="BG79" s="2">
        <v>-0.92525640977035484</v>
      </c>
      <c r="BH79" s="2">
        <v>-0.4777039744179169</v>
      </c>
      <c r="BI79" s="2">
        <v>0.44592901815682218</v>
      </c>
      <c r="BJ79" s="2">
        <v>0.43770885236279911</v>
      </c>
      <c r="BK79" s="2">
        <v>-0.44279393461841787</v>
      </c>
      <c r="BL79" s="2">
        <v>3.5294352560813129</v>
      </c>
      <c r="BM79" s="2">
        <v>1.1783821993337135E-2</v>
      </c>
      <c r="BN79" s="2">
        <v>-0.64528069985469483</v>
      </c>
      <c r="BO79" s="2">
        <v>-0.69678939664207884</v>
      </c>
      <c r="BP79" s="2">
        <v>-2.1167081281892171</v>
      </c>
      <c r="BQ79" s="2">
        <v>-0.95426510288302779</v>
      </c>
      <c r="BR79" s="2">
        <v>0.13809749671281418</v>
      </c>
      <c r="BS79" s="2">
        <v>-0.86232872081571088</v>
      </c>
      <c r="BT79" s="2">
        <v>-0.11065414631950377</v>
      </c>
      <c r="BU79" s="2">
        <v>5.7228320961523194E-2</v>
      </c>
      <c r="BV79" s="2">
        <v>-0.14055588445985878</v>
      </c>
      <c r="BW79" s="2">
        <v>2.8520916580062172E-2</v>
      </c>
      <c r="BX79" s="2">
        <v>3.66892989139685</v>
      </c>
      <c r="BY79" s="2">
        <v>3.52965232626262</v>
      </c>
      <c r="BZ79" s="2">
        <v>8.0038894652494197E-2</v>
      </c>
      <c r="CA79" s="2">
        <v>1.2193230158260633</v>
      </c>
      <c r="CB79" s="2">
        <v>-1.4836851694154296</v>
      </c>
      <c r="CC79" s="2">
        <v>-1.2939265963225099</v>
      </c>
      <c r="CE79">
        <f t="shared" si="12"/>
        <v>2.524206782100297E-2</v>
      </c>
      <c r="CF79">
        <f t="shared" si="13"/>
        <v>0.22219965684877399</v>
      </c>
      <c r="CG79">
        <f t="shared" si="14"/>
        <v>0.87238835103414203</v>
      </c>
      <c r="CH79">
        <f t="shared" si="15"/>
        <v>0.44470201109693064</v>
      </c>
      <c r="CI79">
        <f t="shared" si="16"/>
        <v>-0.19695758902777102</v>
      </c>
      <c r="CJ79">
        <f t="shared" si="17"/>
        <v>0.351930906516155</v>
      </c>
      <c r="CK79" t="s">
        <v>116</v>
      </c>
      <c r="CN79" t="s">
        <v>68</v>
      </c>
      <c r="CO79">
        <v>-2.0157643150708619E-3</v>
      </c>
      <c r="CP79">
        <v>3.4463693780816371E-3</v>
      </c>
    </row>
    <row r="80" spans="1:94" x14ac:dyDescent="0.2">
      <c r="A80" t="s">
        <v>117</v>
      </c>
      <c r="B80" s="1">
        <v>1.6620843408039199</v>
      </c>
      <c r="C80" s="1">
        <v>0.13172607707040485</v>
      </c>
      <c r="D80" s="1">
        <v>1.14313766197143</v>
      </c>
      <c r="E80" s="1">
        <v>-0.1244495198529551</v>
      </c>
      <c r="F80" s="1">
        <v>1.4140402765588098</v>
      </c>
      <c r="G80" s="1">
        <v>0.8750729413029299</v>
      </c>
      <c r="H80" s="1">
        <v>1.2666129185044399</v>
      </c>
      <c r="I80" s="1">
        <v>1.1383043481228898</v>
      </c>
      <c r="J80" s="1">
        <v>1.2211717676667599</v>
      </c>
      <c r="K80" s="1">
        <v>1.5903269095530397</v>
      </c>
      <c r="L80" s="1">
        <v>0.84013425138306985</v>
      </c>
      <c r="M80" s="1">
        <v>1.7836466368753698</v>
      </c>
      <c r="N80" s="1">
        <v>0.82307760783642991</v>
      </c>
      <c r="O80" s="1">
        <v>1.41946046643767</v>
      </c>
      <c r="P80" s="1">
        <v>1.2242640602046799</v>
      </c>
      <c r="Q80" s="1">
        <v>0.84443930079571139</v>
      </c>
      <c r="R80" s="1">
        <v>1.9020191565622997</v>
      </c>
      <c r="S80" s="1">
        <v>0.32912841710303686</v>
      </c>
      <c r="T80" s="1">
        <v>0.53831417765926992</v>
      </c>
      <c r="U80" s="1">
        <v>0.32487488811210685</v>
      </c>
      <c r="V80" s="1">
        <v>1.1725619780932299</v>
      </c>
      <c r="W80" s="1">
        <v>1.2243060809670598</v>
      </c>
      <c r="X80" s="1">
        <v>0.40234607834045788</v>
      </c>
      <c r="Y80" s="1">
        <v>0.56282225586719981</v>
      </c>
      <c r="Z80" s="1">
        <v>0.80542770182462542</v>
      </c>
      <c r="AA80" s="1">
        <v>0.50812675487770365</v>
      </c>
      <c r="AB80" s="1">
        <v>-0.15064249449616426</v>
      </c>
      <c r="AC80" s="1">
        <v>-0.80444325463331934</v>
      </c>
      <c r="AD80" s="1">
        <v>0.54472067966797</v>
      </c>
      <c r="AE80" s="1">
        <v>0.88421537524782989</v>
      </c>
      <c r="AF80" s="1">
        <v>0.76865341885011995</v>
      </c>
      <c r="AG80" s="1">
        <v>0.60249662240028989</v>
      </c>
      <c r="AH80" s="1">
        <v>0.47132160981292981</v>
      </c>
      <c r="AI80" s="1">
        <v>0.65065463695885994</v>
      </c>
      <c r="AJ80" s="1">
        <v>0.57769042126990988</v>
      </c>
      <c r="AK80" s="1">
        <v>0.87664846609072988</v>
      </c>
      <c r="AL80" s="1">
        <v>-0.93217774324086056</v>
      </c>
      <c r="AM80" s="1">
        <v>0.99291750745077989</v>
      </c>
      <c r="AN80" s="1">
        <v>1.7599568143925497</v>
      </c>
      <c r="AO80" s="1">
        <v>1.55915410143816</v>
      </c>
      <c r="AP80" s="1">
        <v>1.6776852581413499</v>
      </c>
      <c r="AQ80" s="1">
        <v>-2.9681255839690834E-3</v>
      </c>
      <c r="AR80" s="1">
        <v>0.97363043496764656</v>
      </c>
      <c r="AS80" s="1">
        <v>1.2066478072403266</v>
      </c>
      <c r="AT80" s="2">
        <v>0.88549802224228658</v>
      </c>
      <c r="AU80" s="2">
        <v>0.99539154956342668</v>
      </c>
      <c r="AV80" s="2">
        <v>0.36118913524856966</v>
      </c>
      <c r="AW80" s="2">
        <v>0.36019982275438467</v>
      </c>
      <c r="AX80" s="2">
        <v>4.5222239764512162</v>
      </c>
      <c r="AY80" s="2">
        <v>2.6940226382561168</v>
      </c>
      <c r="AZ80" s="2">
        <v>1.4282133378440867</v>
      </c>
      <c r="BA80" s="2">
        <v>0.81521252661973365</v>
      </c>
      <c r="BB80" s="2">
        <v>-0.85152680365966571</v>
      </c>
      <c r="BC80" s="2">
        <v>1.3687713617517805</v>
      </c>
      <c r="BD80" s="2">
        <v>0.50891386795258609</v>
      </c>
      <c r="BE80" s="2">
        <v>0.74106329071503518</v>
      </c>
      <c r="BF80" s="2">
        <v>0.49637700690893061</v>
      </c>
      <c r="BG80" s="2">
        <v>0.50449058167850569</v>
      </c>
      <c r="BH80" s="2">
        <v>0.25417540082957563</v>
      </c>
      <c r="BI80" s="2">
        <v>0.10928470982922361</v>
      </c>
      <c r="BJ80" s="2">
        <v>1.3647162492262466</v>
      </c>
      <c r="BK80" s="2">
        <v>-0.13367297802054437</v>
      </c>
      <c r="BL80" s="2">
        <v>4.3046603065218765</v>
      </c>
      <c r="BM80" s="2">
        <v>1.2069452200342967</v>
      </c>
      <c r="BN80" s="2">
        <v>0.63626469487897763</v>
      </c>
      <c r="BO80" s="2">
        <v>0.75372505320741567</v>
      </c>
      <c r="BP80" s="2">
        <v>-0.73292680325483439</v>
      </c>
      <c r="BQ80" s="2">
        <v>1.3480950382694166</v>
      </c>
      <c r="BR80" s="2">
        <v>0.92147813525927824</v>
      </c>
      <c r="BS80" s="2">
        <v>-1.0093336836910005</v>
      </c>
      <c r="BT80" s="2">
        <v>1.0060775602679692</v>
      </c>
      <c r="BU80" s="2">
        <v>1.4423186325748842</v>
      </c>
      <c r="BV80" s="2">
        <v>0.95994508561441827</v>
      </c>
      <c r="BW80" s="2">
        <v>1.0616374865374683</v>
      </c>
      <c r="BX80" s="2">
        <v>1.1914902428025782</v>
      </c>
      <c r="BY80" s="2">
        <v>3.7672746616288544</v>
      </c>
      <c r="BZ80" s="2">
        <v>1.2732026339868874</v>
      </c>
      <c r="CA80" s="2">
        <v>1.6865519904389943</v>
      </c>
      <c r="CB80" s="2">
        <v>-0.74846531175964581</v>
      </c>
      <c r="CC80" s="2">
        <v>-0.40404470499306577</v>
      </c>
      <c r="CE80">
        <f t="shared" si="12"/>
        <v>0.83361679705947123</v>
      </c>
      <c r="CF80">
        <f t="shared" si="13"/>
        <v>0.97470666484767376</v>
      </c>
      <c r="CG80">
        <f t="shared" si="14"/>
        <v>0.90683383903932857</v>
      </c>
      <c r="CH80">
        <f t="shared" si="15"/>
        <v>0.54297693491889154</v>
      </c>
      <c r="CI80">
        <f t="shared" si="16"/>
        <v>-0.14108986778820273</v>
      </c>
      <c r="CJ80">
        <f t="shared" si="17"/>
        <v>0.26521861838574523</v>
      </c>
      <c r="CK80" t="s">
        <v>117</v>
      </c>
    </row>
    <row r="81" spans="1:89" x14ac:dyDescent="0.2">
      <c r="A81" t="s">
        <v>118</v>
      </c>
      <c r="B81" s="1" t="s">
        <v>67</v>
      </c>
      <c r="C81" s="1">
        <v>0.11326009696432027</v>
      </c>
      <c r="D81" s="1">
        <v>0.17260803892028931</v>
      </c>
      <c r="E81" s="1">
        <v>-0.5046605962743167</v>
      </c>
      <c r="F81" s="1">
        <v>0.8658004138792792</v>
      </c>
      <c r="G81" s="1">
        <v>-0.42112499970600575</v>
      </c>
      <c r="H81" s="1">
        <v>0.67752179067237916</v>
      </c>
      <c r="I81" s="1">
        <v>0.35101010294716928</v>
      </c>
      <c r="J81" s="1">
        <v>0.56577584147436921</v>
      </c>
      <c r="K81" s="1">
        <v>1.6446589361174693</v>
      </c>
      <c r="L81" s="1">
        <v>-0.36009929363800974</v>
      </c>
      <c r="M81" s="1">
        <v>2.3337856752413391</v>
      </c>
      <c r="N81" s="1">
        <v>0.42148368526905933</v>
      </c>
      <c r="O81" s="1">
        <v>0.96613847890146931</v>
      </c>
      <c r="P81" s="1">
        <v>0.6513819491497892</v>
      </c>
      <c r="Q81" s="1">
        <v>0.11502945531440473</v>
      </c>
      <c r="R81" s="1">
        <v>0.10191327011651219</v>
      </c>
      <c r="S81" s="1">
        <v>-0.29602318142000072</v>
      </c>
      <c r="T81" s="1">
        <v>-0.89483490838911861</v>
      </c>
      <c r="U81" s="1">
        <v>-0.79130237991741836</v>
      </c>
      <c r="V81" s="1">
        <v>0.9483883118991292</v>
      </c>
      <c r="W81" s="1">
        <v>3.8948546605806267E-2</v>
      </c>
      <c r="X81" s="1">
        <v>-0.52636974292927075</v>
      </c>
      <c r="Y81" s="1">
        <v>-2.2202540801977699E-3</v>
      </c>
      <c r="Z81" s="1">
        <v>0.16311013537927477</v>
      </c>
      <c r="AA81" s="1">
        <v>0.20915315273957258</v>
      </c>
      <c r="AB81" s="1">
        <v>-0.39378890264701139</v>
      </c>
      <c r="AC81" s="1">
        <v>0.71445624365784255</v>
      </c>
      <c r="AD81" s="1">
        <v>0.19668061319165919</v>
      </c>
      <c r="AE81" s="1">
        <v>-0.19018559437545679</v>
      </c>
      <c r="AF81" s="1">
        <v>-0.48588305499524576</v>
      </c>
      <c r="AG81" s="1">
        <v>-0.80783742487510368</v>
      </c>
      <c r="AH81" s="1">
        <v>-0.66590362065943276</v>
      </c>
      <c r="AI81" s="1">
        <v>-0.2278287598211558</v>
      </c>
      <c r="AJ81" s="1">
        <v>-0.26859507685277173</v>
      </c>
      <c r="AK81" s="1">
        <v>0.31841609143090932</v>
      </c>
      <c r="AL81" s="1">
        <v>-0.95192677081072319</v>
      </c>
      <c r="AM81" s="1">
        <v>-0.87236936018299982</v>
      </c>
      <c r="AN81" s="1">
        <v>0.91419064973963926</v>
      </c>
      <c r="AO81" s="1">
        <v>-0.13642320709496281</v>
      </c>
      <c r="AP81" s="1">
        <v>0.56774248143146933</v>
      </c>
      <c r="AQ81" s="1">
        <v>4.0183097963766179E-2</v>
      </c>
      <c r="AR81" s="1">
        <v>0.56775223306158162</v>
      </c>
      <c r="AS81" s="1">
        <v>1.4988954417337834</v>
      </c>
      <c r="AT81" s="2">
        <v>1.0623962738978416</v>
      </c>
      <c r="AU81" s="2">
        <v>0.50710404488234562</v>
      </c>
      <c r="AV81" s="2">
        <v>0.60770406173361058</v>
      </c>
      <c r="AW81" s="2">
        <v>-0.53034530251128442</v>
      </c>
      <c r="AX81" s="2">
        <v>0.2654571792058667</v>
      </c>
      <c r="AY81" s="2">
        <v>-0.24948172996820339</v>
      </c>
      <c r="AZ81" s="2">
        <v>0.23140063311932657</v>
      </c>
      <c r="BA81" s="2">
        <v>0.97397852436822663</v>
      </c>
      <c r="BB81" s="2" t="s">
        <v>67</v>
      </c>
      <c r="BC81" s="2">
        <v>-6.3571049246959221E-2</v>
      </c>
      <c r="BD81" s="2">
        <v>8.5699962894294879E-2</v>
      </c>
      <c r="BE81" s="2">
        <v>0.90125693448158783</v>
      </c>
      <c r="BF81" s="2">
        <v>0.81112650436854861</v>
      </c>
      <c r="BG81" s="2">
        <v>0.13166670783821557</v>
      </c>
      <c r="BH81" s="2">
        <v>-4.8061738648954411E-2</v>
      </c>
      <c r="BI81" s="2">
        <v>-1.0358964675939166</v>
      </c>
      <c r="BJ81" s="2">
        <v>-4.172652702696944E-2</v>
      </c>
      <c r="BK81" s="2">
        <v>-1.3801798081893866</v>
      </c>
      <c r="BL81" s="2">
        <v>0.34543222137589219</v>
      </c>
      <c r="BM81" s="2">
        <v>8.8061318020129564E-2</v>
      </c>
      <c r="BN81" s="2">
        <v>0.12499164934159659</v>
      </c>
      <c r="BO81" s="2">
        <v>0.67126596023150564</v>
      </c>
      <c r="BP81" s="2">
        <v>0.7939066647969536</v>
      </c>
      <c r="BQ81" s="2">
        <v>-5.4663482658534046E-3</v>
      </c>
      <c r="BR81" s="2">
        <v>2.1817684006096849E-2</v>
      </c>
      <c r="BS81" s="2">
        <v>0.80745255604009869</v>
      </c>
      <c r="BT81" s="2">
        <v>-0.29706024198745318</v>
      </c>
      <c r="BU81" s="2">
        <v>2.18462776919722</v>
      </c>
      <c r="BV81" s="2">
        <v>0.16221562234632486</v>
      </c>
      <c r="BW81" s="2">
        <v>-1.1445760169311603</v>
      </c>
      <c r="BX81" s="2">
        <v>-0.97026393051031012</v>
      </c>
      <c r="BY81" s="2">
        <v>-0.27705816668052818</v>
      </c>
      <c r="BZ81" s="2">
        <v>-3.6854217840754155E-2</v>
      </c>
      <c r="CA81" s="2">
        <v>0.88920578718516485</v>
      </c>
      <c r="CB81" s="2">
        <v>-0.47297372819174111</v>
      </c>
      <c r="CC81" s="2">
        <v>-0.54936043037344318</v>
      </c>
      <c r="CE81">
        <f t="shared" si="12"/>
        <v>0.14792808384030415</v>
      </c>
      <c r="CF81">
        <f t="shared" si="13"/>
        <v>0.13039692443896941</v>
      </c>
      <c r="CG81">
        <f t="shared" si="14"/>
        <v>1.0122258052678192</v>
      </c>
      <c r="CH81">
        <f t="shared" si="15"/>
        <v>0.91466823163074806</v>
      </c>
      <c r="CI81">
        <f t="shared" si="16"/>
        <v>1.7531159401334883E-2</v>
      </c>
      <c r="CJ81">
        <f t="shared" si="17"/>
        <v>3.8736404622247742E-2</v>
      </c>
      <c r="CK81" t="s">
        <v>118</v>
      </c>
    </row>
    <row r="82" spans="1:89" x14ac:dyDescent="0.2">
      <c r="A82" t="s">
        <v>119</v>
      </c>
      <c r="B82" s="1">
        <v>-0.46785618438789206</v>
      </c>
      <c r="C82" s="1">
        <v>-0.78138950769308502</v>
      </c>
      <c r="D82" s="1">
        <v>-0.47557239625175202</v>
      </c>
      <c r="E82" s="1">
        <v>-1.3186483732839092</v>
      </c>
      <c r="F82" s="1">
        <v>3.098958685093081</v>
      </c>
      <c r="G82" s="1">
        <v>-1.647014814306639</v>
      </c>
      <c r="H82" s="1">
        <v>0.17797517877184196</v>
      </c>
      <c r="I82" s="1">
        <v>-0.67591969989735201</v>
      </c>
      <c r="J82" s="1">
        <v>-1.617848031429419</v>
      </c>
      <c r="K82" s="1">
        <v>-0.10555895697242104</v>
      </c>
      <c r="L82" s="1">
        <v>-0.44283386646173906</v>
      </c>
      <c r="M82" s="1">
        <v>-1.3357629441916792</v>
      </c>
      <c r="N82" s="1">
        <v>9.8714582186716263E-2</v>
      </c>
      <c r="O82" s="1">
        <v>8.0660028182136967E-2</v>
      </c>
      <c r="P82" s="1">
        <v>0.56499855289628487</v>
      </c>
      <c r="Q82" s="1">
        <v>-0.81633641095318632</v>
      </c>
      <c r="R82" s="1">
        <v>0.94591301188641097</v>
      </c>
      <c r="S82" s="1">
        <v>-1.0464515308294791</v>
      </c>
      <c r="T82" s="1">
        <v>-0.18198074904994005</v>
      </c>
      <c r="U82" s="1">
        <v>-0.82007782650969507</v>
      </c>
      <c r="V82" s="1">
        <v>0.26122280323656899</v>
      </c>
      <c r="W82" s="1">
        <v>-0.30845200591759203</v>
      </c>
      <c r="X82" s="1">
        <v>-1.5165555881018391</v>
      </c>
      <c r="Y82" s="1">
        <v>-1.5715994608403492</v>
      </c>
      <c r="Z82" s="1">
        <v>-0.3590237327568262</v>
      </c>
      <c r="AA82" s="1">
        <v>-1.7086279014259991</v>
      </c>
      <c r="AB82" s="1">
        <v>-1.6586696952605191</v>
      </c>
      <c r="AC82" s="1">
        <v>-0.83043872159672705</v>
      </c>
      <c r="AD82" s="1">
        <v>-1.0554411355380791</v>
      </c>
      <c r="AE82" s="1">
        <v>-1.1314207548994391</v>
      </c>
      <c r="AF82" s="1">
        <v>-0.61508061145102499</v>
      </c>
      <c r="AG82" s="1">
        <v>-0.86548770081134307</v>
      </c>
      <c r="AH82" s="1">
        <v>-2.527614264192259</v>
      </c>
      <c r="AI82" s="1">
        <v>-1.3192682803772191</v>
      </c>
      <c r="AJ82" s="1">
        <v>-1.577491113561289</v>
      </c>
      <c r="AK82" s="1">
        <v>-0.22796268745817905</v>
      </c>
      <c r="AL82" s="1">
        <v>-1.5007615899743061</v>
      </c>
      <c r="AM82" s="1">
        <v>0.44273441826707094</v>
      </c>
      <c r="AN82" s="1">
        <v>-1.7760228625401291</v>
      </c>
      <c r="AO82" s="1">
        <v>-1.7956822767324692</v>
      </c>
      <c r="AP82" s="1">
        <v>-0.72355300649521914</v>
      </c>
      <c r="AQ82" s="1">
        <v>-1.905707341019069</v>
      </c>
      <c r="AR82" s="1">
        <v>0.87564842867701098</v>
      </c>
      <c r="AS82" s="1">
        <v>1.9444260515926211</v>
      </c>
      <c r="AT82" s="2">
        <v>-0.15246772892658753</v>
      </c>
      <c r="AU82" s="2">
        <v>-0.76328221861212109</v>
      </c>
      <c r="AV82" s="2">
        <v>-0.96898523510213508</v>
      </c>
      <c r="AW82" s="2">
        <v>-1.153230332301435</v>
      </c>
      <c r="AX82" s="2">
        <v>4.902891869136089E-2</v>
      </c>
      <c r="AY82" s="2">
        <v>-1.0556078439261124E-2</v>
      </c>
      <c r="AZ82" s="2">
        <v>0.67534400589756682</v>
      </c>
      <c r="BA82" s="2">
        <v>1.3304484454828847E-3</v>
      </c>
      <c r="BB82" s="2">
        <v>-0.62363727512493805</v>
      </c>
      <c r="BC82" s="2">
        <v>-0.73928247575122641</v>
      </c>
      <c r="BD82" s="2">
        <v>-2.2215992537954088E-2</v>
      </c>
      <c r="BE82" s="2">
        <v>1.1569789254348111</v>
      </c>
      <c r="BF82" s="2">
        <v>-0.33168677184932915</v>
      </c>
      <c r="BG82" s="2">
        <v>0.51732442130120293</v>
      </c>
      <c r="BH82" s="2">
        <v>4.4898643915872893E-2</v>
      </c>
      <c r="BI82" s="2">
        <v>-1.2596098300066791</v>
      </c>
      <c r="BJ82" s="2">
        <v>-1.208472540238269</v>
      </c>
      <c r="BK82" s="2">
        <v>-0.83817868240682802</v>
      </c>
      <c r="BL82" s="2">
        <v>-0.2189784124946863</v>
      </c>
      <c r="BM82" s="2">
        <v>-0.2871027841215511</v>
      </c>
      <c r="BN82" s="2">
        <v>-1.7751321155383091</v>
      </c>
      <c r="BO82" s="2">
        <v>0.3042067334369149</v>
      </c>
      <c r="BP82" s="2">
        <v>0.80901845178174092</v>
      </c>
      <c r="BQ82" s="2">
        <v>-1.3692864384539591</v>
      </c>
      <c r="BR82" s="2">
        <v>-1.1999995962895291</v>
      </c>
      <c r="BS82" s="2">
        <v>-0.35890094402303641</v>
      </c>
      <c r="BT82" s="2">
        <v>0.60816069303679599</v>
      </c>
      <c r="BU82" s="2">
        <v>0.30539614551119193</v>
      </c>
      <c r="BV82" s="2">
        <v>-1.7335142624227891</v>
      </c>
      <c r="BW82" s="2">
        <v>-2.4524724209834065E-2</v>
      </c>
      <c r="BX82" s="2">
        <v>0.47320937632056398</v>
      </c>
      <c r="BY82" s="2">
        <v>2.6611467294653708</v>
      </c>
      <c r="BZ82" s="2">
        <v>-0.54171883905860607</v>
      </c>
      <c r="CA82" s="2">
        <v>-0.46823181075458009</v>
      </c>
      <c r="CB82" s="2">
        <v>2.1006541082829608</v>
      </c>
      <c r="CC82" s="2">
        <v>-0.53436063112934906</v>
      </c>
      <c r="CE82">
        <f t="shared" si="12"/>
        <v>-0.64129227914496179</v>
      </c>
      <c r="CF82">
        <f t="shared" si="13"/>
        <v>-0.19101828106308769</v>
      </c>
      <c r="CG82">
        <f t="shared" si="14"/>
        <v>0.73190383086615007</v>
      </c>
      <c r="CH82">
        <f t="shared" si="15"/>
        <v>5.0079504037873715E-2</v>
      </c>
      <c r="CI82">
        <f t="shared" si="16"/>
        <v>-0.45027399808187391</v>
      </c>
      <c r="CJ82">
        <f t="shared" si="17"/>
        <v>1.3003399808096325</v>
      </c>
      <c r="CK82" t="s">
        <v>119</v>
      </c>
    </row>
    <row r="83" spans="1:89" x14ac:dyDescent="0.2">
      <c r="A83" t="s">
        <v>120</v>
      </c>
      <c r="B83" s="1">
        <v>-1.3401025943394798</v>
      </c>
      <c r="C83" s="1">
        <v>0.12315130062517315</v>
      </c>
      <c r="D83" s="1">
        <v>-0.11050417004427787</v>
      </c>
      <c r="E83" s="1">
        <v>-0.87634526932269996</v>
      </c>
      <c r="F83" s="1">
        <v>-0.45083603226057489</v>
      </c>
      <c r="G83" s="1">
        <v>-0.91332565224823992</v>
      </c>
      <c r="H83" s="1">
        <v>-0.88966392324261989</v>
      </c>
      <c r="I83" s="1">
        <v>-0.4094198073773968</v>
      </c>
      <c r="J83" s="1">
        <v>0.13584295568009414</v>
      </c>
      <c r="K83" s="1">
        <v>0.17479314872862714</v>
      </c>
      <c r="L83" s="1">
        <v>0.14150254398475814</v>
      </c>
      <c r="M83" s="1">
        <v>-0.39352556469763689</v>
      </c>
      <c r="N83" s="1">
        <v>0.69975822296828316</v>
      </c>
      <c r="O83" s="1">
        <v>-0.53798634886068386</v>
      </c>
      <c r="P83" s="1">
        <v>-0.46538460236625889</v>
      </c>
      <c r="Q83" s="1">
        <v>-0.84380285912887387</v>
      </c>
      <c r="R83" s="1">
        <v>3.5902986971414141E-2</v>
      </c>
      <c r="S83" s="1">
        <v>-0.32936721436986183</v>
      </c>
      <c r="T83" s="1">
        <v>-0.32225994696510385</v>
      </c>
      <c r="U83" s="1">
        <v>-0.57788027195981384</v>
      </c>
      <c r="V83" s="1">
        <v>-4.3699243334849869E-2</v>
      </c>
      <c r="W83" s="1">
        <v>0.30762812132320916</v>
      </c>
      <c r="X83" s="1">
        <v>-0.51287624940580789</v>
      </c>
      <c r="Y83" s="1">
        <v>-0.23558804507630482</v>
      </c>
      <c r="Z83" s="1">
        <v>2.1263741598360699</v>
      </c>
      <c r="AA83" s="1">
        <v>0.61617565028865651</v>
      </c>
      <c r="AB83" s="1">
        <v>-1.2140822339859745</v>
      </c>
      <c r="AC83" s="1">
        <v>-0.51163412848792156</v>
      </c>
      <c r="AD83" s="1">
        <v>0.25599155916355315</v>
      </c>
      <c r="AE83" s="1">
        <v>0.20256543189970014</v>
      </c>
      <c r="AF83" s="1">
        <v>-0.38542588528179988</v>
      </c>
      <c r="AG83" s="1">
        <v>-0.29801048274772091</v>
      </c>
      <c r="AH83" s="1">
        <v>0.10783904787191112</v>
      </c>
      <c r="AI83" s="1">
        <v>0.56574391535902713</v>
      </c>
      <c r="AJ83" s="1">
        <v>-0.47355900755739189</v>
      </c>
      <c r="AK83" s="1">
        <v>0.39786063174956066</v>
      </c>
      <c r="AL83" s="1">
        <v>-1.51989944128109</v>
      </c>
      <c r="AM83" s="1">
        <v>8.1107238860776143E-2</v>
      </c>
      <c r="AN83" s="1">
        <v>-0.58338539702930781</v>
      </c>
      <c r="AO83" s="1">
        <v>-0.44948021470849187</v>
      </c>
      <c r="AP83" s="1">
        <v>-0.37555926610250889</v>
      </c>
      <c r="AQ83" s="1">
        <v>-0.53879827741504982</v>
      </c>
      <c r="AR83" s="1">
        <v>-0.68220011146063952</v>
      </c>
      <c r="AS83" s="1">
        <v>-0.31823665834132053</v>
      </c>
      <c r="AT83" s="2">
        <v>0.65555729192889245</v>
      </c>
      <c r="AU83" s="2">
        <v>-3.057950757097502E-2</v>
      </c>
      <c r="AV83" s="2">
        <v>-0.56220145070576155</v>
      </c>
      <c r="AW83" s="2">
        <v>-1.1406775831788845</v>
      </c>
      <c r="AX83" s="2">
        <v>1.0603189934592157</v>
      </c>
      <c r="AY83" s="2">
        <v>1.5973341289031655</v>
      </c>
      <c r="AZ83" s="2">
        <v>0.23565589502531548</v>
      </c>
      <c r="BA83" s="2">
        <v>-0.18151250477414149</v>
      </c>
      <c r="BB83" s="2">
        <v>1.027941900671272</v>
      </c>
      <c r="BC83" s="2">
        <v>-0.1223611003061813</v>
      </c>
      <c r="BD83" s="2">
        <v>0.46835052618691397</v>
      </c>
      <c r="BE83" s="2">
        <v>0.77361726165086198</v>
      </c>
      <c r="BF83" s="2">
        <v>0.33501078491299247</v>
      </c>
      <c r="BG83" s="2">
        <v>1.9501418566210256</v>
      </c>
      <c r="BH83" s="2">
        <v>-0.63852817394269457</v>
      </c>
      <c r="BI83" s="2">
        <v>-1.3306420354531745</v>
      </c>
      <c r="BJ83" s="2">
        <v>-1.3285360594254043</v>
      </c>
      <c r="BK83" s="2">
        <v>-0.64332350242723757</v>
      </c>
      <c r="BL83" s="2">
        <v>0.95035472628621542</v>
      </c>
      <c r="BM83" s="2">
        <v>9.2194096993534827E-3</v>
      </c>
      <c r="BN83" s="2">
        <v>0.63577433911861347</v>
      </c>
      <c r="BO83" s="2">
        <v>-0.32652906627741451</v>
      </c>
      <c r="BP83" s="2">
        <v>0.74327941578150447</v>
      </c>
      <c r="BQ83" s="2">
        <v>0.12852873852914248</v>
      </c>
      <c r="BR83" s="2">
        <v>0.38434474420588705</v>
      </c>
      <c r="BS83" s="2">
        <v>-0.26043709163799789</v>
      </c>
      <c r="BT83" s="2">
        <v>0.248570107053663</v>
      </c>
      <c r="BU83" s="2">
        <v>0.79251332694126198</v>
      </c>
      <c r="BV83" s="2">
        <v>1.237716831799732</v>
      </c>
      <c r="BW83" s="2">
        <v>-1.1157945502497109</v>
      </c>
      <c r="BX83" s="2">
        <v>0.14364043518895903</v>
      </c>
      <c r="BY83" s="2">
        <v>1.5950178587309822</v>
      </c>
      <c r="BZ83" s="2">
        <v>0.484754719493666</v>
      </c>
      <c r="CA83" s="2">
        <v>0.42934663700179398</v>
      </c>
      <c r="CB83" s="2">
        <v>3.9389209294131819</v>
      </c>
      <c r="CC83" s="2">
        <v>1.6181656007910821</v>
      </c>
      <c r="CE83">
        <f t="shared" si="12"/>
        <v>-0.24160459054747471</v>
      </c>
      <c r="CF83">
        <f t="shared" si="13"/>
        <v>0.3823042731512532</v>
      </c>
      <c r="CG83">
        <f t="shared" si="14"/>
        <v>0.64891037440794219</v>
      </c>
      <c r="CH83">
        <f t="shared" si="15"/>
        <v>2.4171970273780237E-3</v>
      </c>
      <c r="CI83">
        <f t="shared" si="16"/>
        <v>-0.623908863698728</v>
      </c>
      <c r="CJ83">
        <f t="shared" si="17"/>
        <v>2.6166879485101751</v>
      </c>
      <c r="CK83" t="s">
        <v>120</v>
      </c>
    </row>
    <row r="84" spans="1:89" x14ac:dyDescent="0.2">
      <c r="A84" t="s">
        <v>121</v>
      </c>
      <c r="B84" s="1">
        <v>-0.72369476353882911</v>
      </c>
      <c r="C84" s="1">
        <v>1.6810807796433809</v>
      </c>
      <c r="D84" s="1">
        <v>3.5019138735535513</v>
      </c>
      <c r="E84" s="1">
        <v>1.4849631154863969</v>
      </c>
      <c r="F84" s="1">
        <v>3.5723128889372209</v>
      </c>
      <c r="G84" s="1">
        <v>0.83945553570999398</v>
      </c>
      <c r="H84" s="1">
        <v>0.63143297934034792</v>
      </c>
      <c r="I84" s="1">
        <v>1.6478590906537909</v>
      </c>
      <c r="J84" s="1">
        <v>-0.39701948354061911</v>
      </c>
      <c r="K84" s="1">
        <v>0.46836954232760397</v>
      </c>
      <c r="L84" s="1">
        <v>2.1837040774522611</v>
      </c>
      <c r="M84" s="1">
        <v>4.6770493929794208</v>
      </c>
      <c r="N84" s="1">
        <v>4.1190404149806108</v>
      </c>
      <c r="O84" s="1">
        <v>0.8914740194905787</v>
      </c>
      <c r="P84" s="1">
        <v>0.74749478645428291</v>
      </c>
      <c r="Q84" s="1">
        <v>2.0500348449508317</v>
      </c>
      <c r="R84" s="1">
        <v>-0.60014426162149914</v>
      </c>
      <c r="S84" s="1">
        <v>2.0204452933607806</v>
      </c>
      <c r="T84" s="1">
        <v>1.2332667193303379</v>
      </c>
      <c r="U84" s="1">
        <v>1.182758259569183</v>
      </c>
      <c r="V84" s="1">
        <v>2.9041967218118012</v>
      </c>
      <c r="W84" s="1">
        <v>2.3902945066021708</v>
      </c>
      <c r="X84" s="1">
        <v>1.895530293848718</v>
      </c>
      <c r="Y84" s="1">
        <v>2.204412758025871</v>
      </c>
      <c r="Z84" s="1">
        <v>2.4889155058919017</v>
      </c>
      <c r="AA84" s="1">
        <v>2.3630449228422323</v>
      </c>
      <c r="AB84" s="1">
        <v>-0.34743151761744451</v>
      </c>
      <c r="AC84" s="1">
        <v>0.56733520159203255</v>
      </c>
      <c r="AD84" s="1">
        <v>3.6365472408468209</v>
      </c>
      <c r="AE84" s="1">
        <v>2.7640081361962512</v>
      </c>
      <c r="AF84" s="1">
        <v>3.7640596660484009</v>
      </c>
      <c r="AG84" s="1">
        <v>3.0922708997840411</v>
      </c>
      <c r="AH84" s="1">
        <v>3.1306744519346106</v>
      </c>
      <c r="AI84" s="1">
        <v>2.938602619934231</v>
      </c>
      <c r="AJ84" s="1">
        <v>2.451845315194161</v>
      </c>
      <c r="AK84" s="1">
        <v>2.2457413286918406</v>
      </c>
      <c r="AL84" s="1">
        <v>1.4197078798420015</v>
      </c>
      <c r="AM84" s="1">
        <v>4.3898011942232014</v>
      </c>
      <c r="AN84" s="1">
        <v>1.7905794905933239</v>
      </c>
      <c r="AO84" s="1">
        <v>2.0821398571305112</v>
      </c>
      <c r="AP84" s="1">
        <v>3.4722110489358808</v>
      </c>
      <c r="AQ84" s="1">
        <v>1.3856861176021469</v>
      </c>
      <c r="AR84" s="1">
        <v>2.4004629591846425</v>
      </c>
      <c r="AS84" s="1">
        <v>2.1956393136839223</v>
      </c>
      <c r="AT84" s="2">
        <v>1.4314725097871124</v>
      </c>
      <c r="AU84" s="2">
        <v>1.7612222969840223</v>
      </c>
      <c r="AV84" s="2">
        <v>4.1257714189461447E-2</v>
      </c>
      <c r="AW84" s="2">
        <v>0.84339950620601245</v>
      </c>
      <c r="AX84" s="2">
        <v>3.3495730646772826</v>
      </c>
      <c r="AY84" s="2">
        <v>3.9361463250155522</v>
      </c>
      <c r="AZ84" s="2">
        <v>3.2491144419608124</v>
      </c>
      <c r="BA84" s="2">
        <v>2.2125819999305025</v>
      </c>
      <c r="BB84" s="2">
        <v>4.2535128813168477</v>
      </c>
      <c r="BC84" s="2">
        <v>2.5306017109174315</v>
      </c>
      <c r="BD84" s="2">
        <v>3.2679663143868569</v>
      </c>
      <c r="BE84" s="2">
        <v>3.0068546656254371</v>
      </c>
      <c r="BF84" s="2">
        <v>4.3172710851320524</v>
      </c>
      <c r="BG84" s="2">
        <v>4.6631913938227827</v>
      </c>
      <c r="BH84" s="2">
        <v>0.72243631329323255</v>
      </c>
      <c r="BI84" s="2">
        <v>1.3320712429041723</v>
      </c>
      <c r="BJ84" s="2">
        <v>-1.3807588094825514</v>
      </c>
      <c r="BK84" s="2">
        <v>1.7480078340703225</v>
      </c>
      <c r="BL84" s="2">
        <v>3.7750405599458823</v>
      </c>
      <c r="BM84" s="2">
        <v>2.3105333072221526</v>
      </c>
      <c r="BN84" s="2">
        <v>2.8068059667785223</v>
      </c>
      <c r="BO84" s="2">
        <v>1.3082472887932926</v>
      </c>
      <c r="BP84" s="2">
        <v>4.1224737797514726</v>
      </c>
      <c r="BQ84" s="2">
        <v>4.8485523213446022</v>
      </c>
      <c r="BR84" s="2">
        <v>2.1578949870735271</v>
      </c>
      <c r="BS84" s="2">
        <v>0.9849011576290696</v>
      </c>
      <c r="BT84" s="2">
        <v>2.8674490139878572</v>
      </c>
      <c r="BU84" s="2">
        <v>3.3575363064193069</v>
      </c>
      <c r="BV84" s="2">
        <v>1.2047223390021171</v>
      </c>
      <c r="BW84" s="2">
        <v>0.13668669035479508</v>
      </c>
      <c r="BX84" s="2">
        <v>3.2128531652798369</v>
      </c>
      <c r="BY84" s="2">
        <v>3.5489788186779871</v>
      </c>
      <c r="BZ84" s="2">
        <v>-0.25762171941294693</v>
      </c>
      <c r="CA84" s="2">
        <v>3.4401686779958371</v>
      </c>
      <c r="CB84" s="2">
        <v>5.1753169806025863</v>
      </c>
      <c r="CC84" s="2">
        <v>1.5979851178085671</v>
      </c>
      <c r="CE84">
        <f t="shared" si="12"/>
        <v>2.0190471140532478</v>
      </c>
      <c r="CF84">
        <f t="shared" si="13"/>
        <v>2.4412346458331049</v>
      </c>
      <c r="CG84">
        <f t="shared" si="14"/>
        <v>0.74629217696918237</v>
      </c>
      <c r="CH84">
        <f t="shared" si="15"/>
        <v>0.20180024298659641</v>
      </c>
      <c r="CI84">
        <f t="shared" si="16"/>
        <v>-0.42218753177985702</v>
      </c>
      <c r="CJ84">
        <f t="shared" si="17"/>
        <v>0.69507831516712382</v>
      </c>
      <c r="CK84" t="s">
        <v>121</v>
      </c>
    </row>
    <row r="85" spans="1:89" x14ac:dyDescent="0.2">
      <c r="A85" t="s">
        <v>122</v>
      </c>
      <c r="B85" s="1">
        <v>1.2447120691911209</v>
      </c>
      <c r="C85" s="1">
        <v>0.65812588955169082</v>
      </c>
      <c r="D85" s="1">
        <v>-0.85827619444903913</v>
      </c>
      <c r="E85" s="1">
        <v>1.1879637982423008</v>
      </c>
      <c r="F85" s="1">
        <v>1.818081394609331</v>
      </c>
      <c r="G85" s="1">
        <v>-0.26718826469517815</v>
      </c>
      <c r="H85" s="1">
        <v>0.51810576150353294</v>
      </c>
      <c r="I85" s="1">
        <v>-0.17661301221819115</v>
      </c>
      <c r="J85" s="1">
        <v>-3.6180775179578128E-2</v>
      </c>
      <c r="K85" s="1">
        <v>0.33359827719721785</v>
      </c>
      <c r="L85" s="1">
        <v>0.76219111926337102</v>
      </c>
      <c r="M85" s="1">
        <v>-1.6805183682800191</v>
      </c>
      <c r="N85" s="1">
        <v>1.5539951870749209</v>
      </c>
      <c r="O85" s="1">
        <v>-0.75318214766319713</v>
      </c>
      <c r="P85" s="1">
        <v>-0.74972972083296918</v>
      </c>
      <c r="Q85" s="1">
        <v>7.8524184398960029E-2</v>
      </c>
      <c r="R85" s="1">
        <v>-0.75227759342239908</v>
      </c>
      <c r="S85" s="1">
        <v>1.8667220342684865E-2</v>
      </c>
      <c r="T85" s="1">
        <v>0.24238967313094989</v>
      </c>
      <c r="U85" s="1">
        <v>-0.20193188613332613</v>
      </c>
      <c r="V85" s="1">
        <v>-0.21300041841188613</v>
      </c>
      <c r="W85" s="1">
        <v>-7.0792774830771288E-3</v>
      </c>
      <c r="X85" s="1">
        <v>0.25117579996848888</v>
      </c>
      <c r="Y85" s="1">
        <v>0.26144505209448582</v>
      </c>
      <c r="Z85" s="1">
        <v>-0.50932837917697693</v>
      </c>
      <c r="AA85" s="1">
        <v>0.41427445135068636</v>
      </c>
      <c r="AB85" s="1">
        <v>-0.66539990012325767</v>
      </c>
      <c r="AC85" s="1">
        <v>0.22413495738082301</v>
      </c>
      <c r="AD85" s="1">
        <v>-1.1977326574420482</v>
      </c>
      <c r="AE85" s="1">
        <v>0.25657199532186287</v>
      </c>
      <c r="AF85" s="1">
        <v>0.18344179297094382</v>
      </c>
      <c r="AG85" s="1">
        <v>9.4265429959212887E-2</v>
      </c>
      <c r="AH85" s="1">
        <v>-0.26648331686362614</v>
      </c>
      <c r="AI85" s="1">
        <v>0.28627017457059784</v>
      </c>
      <c r="AJ85" s="1">
        <v>0.74563273656968088</v>
      </c>
      <c r="AK85" s="1">
        <v>0.53614145041490491</v>
      </c>
      <c r="AL85" s="1">
        <v>-1.011398309377417</v>
      </c>
      <c r="AM85" s="1">
        <v>-9.0821628638411145E-3</v>
      </c>
      <c r="AN85" s="1">
        <v>0.68992842040591085</v>
      </c>
      <c r="AO85" s="1">
        <v>0.74733286027272094</v>
      </c>
      <c r="AP85" s="1">
        <v>0.37037610494371281</v>
      </c>
      <c r="AQ85" s="1">
        <v>-0.12493883403179212</v>
      </c>
      <c r="AR85" s="1">
        <v>0.62837340609607728</v>
      </c>
      <c r="AS85" s="1">
        <v>0.92236667773765735</v>
      </c>
      <c r="AT85" s="2">
        <v>0.44172515167669635</v>
      </c>
      <c r="AU85" s="2">
        <v>0.42932222650476437</v>
      </c>
      <c r="AV85" s="2">
        <v>-0.56645822941712465</v>
      </c>
      <c r="AW85" s="2">
        <v>-1.1527641350541726</v>
      </c>
      <c r="AX85" s="2">
        <v>-0.46751556063262467</v>
      </c>
      <c r="AY85" s="2">
        <v>-0.13162962094387765</v>
      </c>
      <c r="AZ85" s="2">
        <v>0.53604322159224138</v>
      </c>
      <c r="BA85" s="2">
        <v>0.86356694936718836</v>
      </c>
      <c r="BB85" s="2">
        <v>0.33813659414223718</v>
      </c>
      <c r="BC85" s="2">
        <v>0.28577584331142303</v>
      </c>
      <c r="BD85" s="2">
        <v>-1.2694896575957119E-2</v>
      </c>
      <c r="BE85" s="2">
        <v>0.49115294410673616</v>
      </c>
      <c r="BF85" s="2">
        <v>1.5224059752347774</v>
      </c>
      <c r="BG85" s="2">
        <v>0.63735946651753128</v>
      </c>
      <c r="BH85" s="2">
        <v>-0.53045316152819266</v>
      </c>
      <c r="BI85" s="2">
        <v>0.34603678911959534</v>
      </c>
      <c r="BJ85" s="2">
        <v>0.99503940086532638</v>
      </c>
      <c r="BK85" s="2">
        <v>-0.81222485005824274</v>
      </c>
      <c r="BL85" s="2">
        <v>-0.15134796239677262</v>
      </c>
      <c r="BM85" s="2">
        <v>-0.46649103308711759</v>
      </c>
      <c r="BN85" s="2">
        <v>0.5745856179454174</v>
      </c>
      <c r="BO85" s="2">
        <v>-0.43035495526360867</v>
      </c>
      <c r="BP85" s="2">
        <v>-1.3939777181279527</v>
      </c>
      <c r="BQ85" s="2">
        <v>-1.3197889732246226</v>
      </c>
      <c r="BR85" s="2">
        <v>7.5579394385105775E-2</v>
      </c>
      <c r="BS85" s="2">
        <v>1.3581460553157219</v>
      </c>
      <c r="BT85" s="2">
        <v>-0.48594129302926481</v>
      </c>
      <c r="BU85" s="2">
        <v>-0.69232974511075274</v>
      </c>
      <c r="BV85" s="2">
        <v>0.12951658621293319</v>
      </c>
      <c r="BW85" s="2">
        <v>-0.93288977188312883</v>
      </c>
      <c r="BX85" s="2">
        <v>-0.36909898860867585</v>
      </c>
      <c r="BY85" s="2">
        <v>-1.1095056409845319</v>
      </c>
      <c r="BZ85" s="2">
        <v>-2.4742124448319219E-2</v>
      </c>
      <c r="CA85" s="2">
        <v>-1.506053752192172</v>
      </c>
      <c r="CB85" s="2">
        <v>-0.59395375471556278</v>
      </c>
      <c r="CC85" s="2">
        <v>-0.24433981159298482</v>
      </c>
      <c r="CE85">
        <f t="shared" si="12"/>
        <v>0.12608510604354609</v>
      </c>
      <c r="CF85">
        <f t="shared" si="13"/>
        <v>-0.12139343784938789</v>
      </c>
      <c r="CG85">
        <f t="shared" si="14"/>
        <v>1.1871305051476442</v>
      </c>
      <c r="CH85">
        <f t="shared" si="15"/>
        <v>0.13924053647718895</v>
      </c>
      <c r="CI85">
        <f t="shared" si="16"/>
        <v>0.24747854389293386</v>
      </c>
      <c r="CJ85">
        <f t="shared" si="17"/>
        <v>0.85623431209965672</v>
      </c>
      <c r="CK85" t="s">
        <v>122</v>
      </c>
    </row>
    <row r="86" spans="1:89" x14ac:dyDescent="0.2">
      <c r="A86" t="s">
        <v>123</v>
      </c>
      <c r="B86" s="1">
        <v>-1.3172141799856278</v>
      </c>
      <c r="C86" s="1">
        <v>1.7899396625572241</v>
      </c>
      <c r="D86" s="1">
        <v>2.3779782763172164E-2</v>
      </c>
      <c r="E86" s="1">
        <v>0.99042454940941416</v>
      </c>
      <c r="F86" s="1">
        <v>2.3513037128290941</v>
      </c>
      <c r="G86" s="1">
        <v>1.162396964654834</v>
      </c>
      <c r="H86" s="1">
        <v>-1.0288188828603866</v>
      </c>
      <c r="I86" s="1">
        <v>0.54053368658399426</v>
      </c>
      <c r="J86" s="1">
        <v>-6.0333215096366799E-2</v>
      </c>
      <c r="K86" s="1">
        <v>0.65939162238537419</v>
      </c>
      <c r="L86" s="1">
        <v>1.1801111822829644</v>
      </c>
      <c r="M86" s="1">
        <v>-0.52994191031976379</v>
      </c>
      <c r="N86" s="1">
        <v>0.6678903552000941</v>
      </c>
      <c r="O86" s="1">
        <v>-0.7366127828214708</v>
      </c>
      <c r="P86" s="1">
        <v>-0.47986693657806978</v>
      </c>
      <c r="Q86" s="1">
        <v>0.77054965650520657</v>
      </c>
      <c r="R86" s="1">
        <v>-1.3543802072774478</v>
      </c>
      <c r="S86" s="1">
        <v>0.16954776084174417</v>
      </c>
      <c r="T86" s="1">
        <v>0.15375883783765421</v>
      </c>
      <c r="U86" s="1">
        <v>-0.47499593359784981</v>
      </c>
      <c r="V86" s="1">
        <v>-0.62606130191464782</v>
      </c>
      <c r="W86" s="1">
        <v>-0.92017320679699222</v>
      </c>
      <c r="X86" s="1">
        <v>-0.20978218967836082</v>
      </c>
      <c r="Y86" s="1">
        <v>-0.10221053367091981</v>
      </c>
      <c r="Z86" s="1">
        <v>0.13091181163165522</v>
      </c>
      <c r="AA86" s="1">
        <v>-0.52490163013538182</v>
      </c>
      <c r="AB86" s="1">
        <v>4.9458987473250171E-2</v>
      </c>
      <c r="AC86" s="1">
        <v>0.44624656156307324</v>
      </c>
      <c r="AD86" s="1">
        <v>-0.40559568572419979</v>
      </c>
      <c r="AE86" s="1">
        <v>0.25604737151705415</v>
      </c>
      <c r="AF86" s="1">
        <v>0.61033898185512414</v>
      </c>
      <c r="AG86" s="1">
        <v>0.12134310223338418</v>
      </c>
      <c r="AH86" s="1">
        <v>-0.30391922725398579</v>
      </c>
      <c r="AI86" s="1">
        <v>-0.49383846062277281</v>
      </c>
      <c r="AJ86" s="1">
        <v>0.19964436643174421</v>
      </c>
      <c r="AK86" s="1">
        <v>-1.0323884731643855</v>
      </c>
      <c r="AL86" s="1">
        <v>-1.1398762843230348</v>
      </c>
      <c r="AM86" s="1">
        <v>-0.57341984947794478</v>
      </c>
      <c r="AN86" s="1">
        <v>-5.5652528494088749E-2</v>
      </c>
      <c r="AO86" s="1">
        <v>-0.5000025526987758</v>
      </c>
      <c r="AP86" s="1">
        <v>-0.13216598756377884</v>
      </c>
      <c r="AQ86" s="1">
        <v>-5.936299944111878E-2</v>
      </c>
      <c r="AR86" s="1">
        <v>1.4505546585004701</v>
      </c>
      <c r="AS86" s="1">
        <v>1.61339005941519</v>
      </c>
      <c r="AT86" s="2">
        <v>0.79673067844520518</v>
      </c>
      <c r="AU86" s="2">
        <v>0.69562855049914818</v>
      </c>
      <c r="AV86" s="2">
        <v>0.15280489901798217</v>
      </c>
      <c r="AW86" s="2">
        <v>-0.64878822749124987</v>
      </c>
      <c r="AX86" s="2">
        <v>-0.17799166668653288</v>
      </c>
      <c r="AY86" s="2">
        <v>-1.0310264055093197</v>
      </c>
      <c r="AZ86" s="2">
        <v>0.26171955305486716</v>
      </c>
      <c r="BA86" s="2">
        <v>-5.4475705440633848E-2</v>
      </c>
      <c r="BB86" s="2">
        <v>0.67361379326974435</v>
      </c>
      <c r="BC86" s="2">
        <v>0.48686902933427417</v>
      </c>
      <c r="BD86" s="2">
        <v>0.60079348010487332</v>
      </c>
      <c r="BE86" s="2">
        <v>0.27390187668399235</v>
      </c>
      <c r="BF86" s="2">
        <v>0.12178671622139414</v>
      </c>
      <c r="BG86" s="2">
        <v>0.52936412234981023</v>
      </c>
      <c r="BH86" s="2">
        <v>-0.43525694047981389</v>
      </c>
      <c r="BI86" s="2">
        <v>-1.4059716813021299</v>
      </c>
      <c r="BJ86" s="2">
        <v>-0.9365654310444399</v>
      </c>
      <c r="BK86" s="2">
        <v>-1.68491179332799</v>
      </c>
      <c r="BL86" s="2">
        <v>0.43866297684468386</v>
      </c>
      <c r="BM86" s="2">
        <v>0.26414402490761513</v>
      </c>
      <c r="BN86" s="2">
        <v>-0.1975681531143848</v>
      </c>
      <c r="BO86" s="2">
        <v>-0.34946817807811381</v>
      </c>
      <c r="BP86" s="2">
        <v>0.5078507314253311</v>
      </c>
      <c r="BQ86" s="2">
        <v>0.49043255527290819</v>
      </c>
      <c r="BR86" s="2">
        <v>0.31564143930701138</v>
      </c>
      <c r="BS86" s="2">
        <v>0.7079246934207386</v>
      </c>
      <c r="BT86" s="2">
        <v>-0.43616360581357561</v>
      </c>
      <c r="BU86" s="2">
        <v>-0.77587643612794466</v>
      </c>
      <c r="BV86" s="2">
        <v>1.0441817275008693</v>
      </c>
      <c r="BW86" s="2">
        <v>-0.55252283386093159</v>
      </c>
      <c r="BX86" s="2">
        <v>-0.25453747642424562</v>
      </c>
      <c r="BY86" s="2">
        <v>-0.32537966579652666</v>
      </c>
      <c r="BZ86" s="2">
        <v>0.46617971334265779</v>
      </c>
      <c r="CA86" s="2">
        <v>5.0982305567873365E-2</v>
      </c>
      <c r="CB86" s="2">
        <v>-1.5113866074375146</v>
      </c>
      <c r="CC86" s="2">
        <v>-1.9322586399653146</v>
      </c>
      <c r="CE86">
        <f t="shared" si="12"/>
        <v>5.1728379885780537E-2</v>
      </c>
      <c r="CF86">
        <f t="shared" si="13"/>
        <v>-0.1064149050369356</v>
      </c>
      <c r="CG86">
        <f t="shared" si="14"/>
        <v>1.1158501403129528</v>
      </c>
      <c r="CH86">
        <f t="shared" si="15"/>
        <v>0.37795503205620418</v>
      </c>
      <c r="CI86">
        <f t="shared" si="16"/>
        <v>0.15814328492271604</v>
      </c>
      <c r="CJ86">
        <f t="shared" si="17"/>
        <v>0.42255986812991009</v>
      </c>
      <c r="CK86" t="s">
        <v>123</v>
      </c>
    </row>
    <row r="87" spans="1:89" x14ac:dyDescent="0.2">
      <c r="A87" t="s">
        <v>124</v>
      </c>
      <c r="B87" s="1">
        <v>0.25451484350674114</v>
      </c>
      <c r="C87" s="1">
        <v>-0.32033058311278279</v>
      </c>
      <c r="D87" s="1">
        <v>5.3079744978056231E-2</v>
      </c>
      <c r="E87" s="1">
        <v>-1.3593404640014128</v>
      </c>
      <c r="F87" s="1">
        <v>0.96801114056364124</v>
      </c>
      <c r="G87" s="1">
        <v>0.36046071545830116</v>
      </c>
      <c r="H87" s="1">
        <v>-0.96956525957814277</v>
      </c>
      <c r="I87" s="1">
        <v>-0.75150789715557376</v>
      </c>
      <c r="J87" s="1">
        <v>0.18844767419300623</v>
      </c>
      <c r="K87" s="1">
        <v>-0.1325127789411088</v>
      </c>
      <c r="L87" s="1">
        <v>-0.82491260662450616</v>
      </c>
      <c r="M87" s="1">
        <v>0.18119049775537321</v>
      </c>
      <c r="N87" s="1">
        <v>-0.61976918465814679</v>
      </c>
      <c r="O87" s="1">
        <v>-1.1167592536905129</v>
      </c>
      <c r="P87" s="1">
        <v>-1.7468115494704968</v>
      </c>
      <c r="Q87" s="1">
        <v>-0.18912533253243047</v>
      </c>
      <c r="R87" s="1">
        <v>-2.2035113695162889</v>
      </c>
      <c r="S87" s="1">
        <v>-3.5161925403391803E-2</v>
      </c>
      <c r="T87" s="1">
        <v>-1.2531095641850227</v>
      </c>
      <c r="U87" s="1">
        <v>-0.84805605583842492</v>
      </c>
      <c r="V87" s="1">
        <v>-1.0203864110624379</v>
      </c>
      <c r="W87" s="1">
        <v>-1.0847829675171439</v>
      </c>
      <c r="X87" s="1">
        <v>-0.13583232770742182</v>
      </c>
      <c r="Y87" s="1">
        <v>-0.19112267494431978</v>
      </c>
      <c r="Z87" s="1">
        <v>-0.79763436646192032</v>
      </c>
      <c r="AA87" s="1">
        <v>-1.2862448024303323</v>
      </c>
      <c r="AB87" s="1">
        <v>-0.22860875946311032</v>
      </c>
      <c r="AC87" s="1">
        <v>-1.5611138986118123</v>
      </c>
      <c r="AD87" s="1">
        <v>-1.0365547337392018</v>
      </c>
      <c r="AE87" s="1">
        <v>-0.63001635709653181</v>
      </c>
      <c r="AF87" s="1">
        <v>-0.36277183711506977</v>
      </c>
      <c r="AG87" s="1">
        <v>-0.26659182344113674</v>
      </c>
      <c r="AH87" s="1">
        <v>-1.0266148981173118</v>
      </c>
      <c r="AI87" s="1">
        <v>-0.15200934274646383</v>
      </c>
      <c r="AJ87" s="1">
        <v>0.25779353770314117</v>
      </c>
      <c r="AK87" s="1">
        <v>-0.95076646129020981</v>
      </c>
      <c r="AL87" s="1">
        <v>-1.7539103344108604</v>
      </c>
      <c r="AM87" s="1">
        <v>-0.38733091396709679</v>
      </c>
      <c r="AN87" s="1">
        <v>-0.37081644005579478</v>
      </c>
      <c r="AO87" s="1">
        <v>2.8787137623901171E-2</v>
      </c>
      <c r="AP87" s="1">
        <v>-0.59677824885818476</v>
      </c>
      <c r="AQ87" s="1">
        <v>-1.1693324349689878</v>
      </c>
      <c r="AR87" s="1">
        <v>1.3852306064949675</v>
      </c>
      <c r="AS87" s="1">
        <v>1.1675923605002678</v>
      </c>
      <c r="AT87" s="2">
        <v>0.31306640701280269</v>
      </c>
      <c r="AU87" s="2">
        <v>-0.49386134877214627</v>
      </c>
      <c r="AV87" s="2">
        <v>1.2365721151657678</v>
      </c>
      <c r="AW87" s="2">
        <v>-0.91846226337282222</v>
      </c>
      <c r="AX87" s="2">
        <v>-0.53088483895474325</v>
      </c>
      <c r="AY87" s="2">
        <v>-0.83711995502211434</v>
      </c>
      <c r="AZ87" s="2">
        <v>-0.8378224139965863</v>
      </c>
      <c r="BA87" s="2">
        <v>-1.2391208484931724</v>
      </c>
      <c r="BB87" s="2">
        <v>-0.75067801766669318</v>
      </c>
      <c r="BC87" s="2">
        <v>-0.71112146671987042</v>
      </c>
      <c r="BD87" s="2">
        <v>-0.10228494147158229</v>
      </c>
      <c r="BE87" s="2">
        <v>-0.10548554357305429</v>
      </c>
      <c r="BF87" s="2">
        <v>-0.61982544924012628</v>
      </c>
      <c r="BG87" s="2">
        <v>-1.3364325028086022</v>
      </c>
      <c r="BH87" s="2">
        <v>-7.3283634129809316E-2</v>
      </c>
      <c r="BI87" s="2">
        <v>-0.70054407878842229</v>
      </c>
      <c r="BJ87" s="2">
        <v>-0.32746722952341828</v>
      </c>
      <c r="BK87" s="2">
        <v>-0.75549075788708131</v>
      </c>
      <c r="BL87" s="2">
        <v>-0.28091984063357428</v>
      </c>
      <c r="BM87" s="2">
        <v>-0.56198857350577025</v>
      </c>
      <c r="BN87" s="2">
        <v>-0.82211995179508635</v>
      </c>
      <c r="BO87" s="2">
        <v>-1.2253954338338322</v>
      </c>
      <c r="BP87" s="2">
        <v>-1.2465297699191025</v>
      </c>
      <c r="BQ87" s="2">
        <v>6.3226816363474797E-2</v>
      </c>
      <c r="BR87" s="2">
        <v>-0.59517970978215318</v>
      </c>
      <c r="BS87" s="2">
        <v>-0.94611992483455043</v>
      </c>
      <c r="BT87" s="2">
        <v>-0.72757509962051325</v>
      </c>
      <c r="BU87" s="2">
        <v>-0.88629971533958329</v>
      </c>
      <c r="BV87" s="2">
        <v>-0.28731547094287924</v>
      </c>
      <c r="BW87" s="2">
        <v>-0.61231286270087337</v>
      </c>
      <c r="BX87" s="2">
        <v>-0.34199990570474326</v>
      </c>
      <c r="BY87" s="2">
        <v>-1.0320979551058533</v>
      </c>
      <c r="BZ87" s="2">
        <v>9.9101127459407745E-2</v>
      </c>
      <c r="CA87" s="2">
        <v>-0.61795304547640328</v>
      </c>
      <c r="CB87" s="2">
        <v>-1.2651001175404433</v>
      </c>
      <c r="CC87" s="2">
        <v>-1.3293906101466832</v>
      </c>
      <c r="CE87">
        <f t="shared" si="12"/>
        <v>-0.51214967272582268</v>
      </c>
      <c r="CF87">
        <f t="shared" si="13"/>
        <v>-0.59461713364724522</v>
      </c>
      <c r="CG87">
        <f t="shared" si="14"/>
        <v>1.0588274197331535</v>
      </c>
      <c r="CH87">
        <f t="shared" si="15"/>
        <v>0.56956708906978415</v>
      </c>
      <c r="CI87">
        <f t="shared" si="16"/>
        <v>8.2467460921422625E-2</v>
      </c>
      <c r="CJ87">
        <f t="shared" si="17"/>
        <v>0.24445511320603455</v>
      </c>
      <c r="CK87" t="s">
        <v>124</v>
      </c>
    </row>
    <row r="88" spans="1:89" x14ac:dyDescent="0.2">
      <c r="A88" t="s">
        <v>125</v>
      </c>
      <c r="B88" s="1">
        <v>-2.0917015899994449</v>
      </c>
      <c r="C88" s="1">
        <v>0.22851862332332518</v>
      </c>
      <c r="D88" s="1">
        <v>0.39274013538107511</v>
      </c>
      <c r="E88" s="1">
        <v>-0.2958030643323758</v>
      </c>
      <c r="F88" s="1">
        <v>0.24803639096718522</v>
      </c>
      <c r="G88" s="1">
        <v>-8.2247079484553898E-2</v>
      </c>
      <c r="H88" s="1">
        <v>-1.6956839109128459</v>
      </c>
      <c r="I88" s="1">
        <v>-0.12981080909101883</v>
      </c>
      <c r="J88" s="1">
        <v>0.5136074110752451</v>
      </c>
      <c r="K88" s="1">
        <v>-0.18331197503286389</v>
      </c>
      <c r="L88" s="1">
        <v>-0.73101676298058038</v>
      </c>
      <c r="M88" s="1">
        <v>-0.13441957972352481</v>
      </c>
      <c r="N88" s="1">
        <v>1.1667569885995253</v>
      </c>
      <c r="O88" s="1">
        <v>-1.0839519395140298</v>
      </c>
      <c r="P88" s="1">
        <v>-2.1614874999714946</v>
      </c>
      <c r="Q88" s="1">
        <v>-9.1291505715327514E-2</v>
      </c>
      <c r="R88" s="1">
        <v>-1.5453977527051297</v>
      </c>
      <c r="S88" s="1">
        <v>0.43157824939803513</v>
      </c>
      <c r="T88" s="1">
        <v>-0.66850020245307384</v>
      </c>
      <c r="U88" s="1">
        <v>-0.66796242034859588</v>
      </c>
      <c r="V88" s="1">
        <v>-0.14829198927804588</v>
      </c>
      <c r="W88" s="1">
        <v>-0.26751092570171886</v>
      </c>
      <c r="X88" s="1">
        <v>-0.1582153778454598</v>
      </c>
      <c r="Y88" s="1">
        <v>-0.21655181263518586</v>
      </c>
      <c r="Z88" s="1">
        <v>-0.66459327189833561</v>
      </c>
      <c r="AA88" s="1">
        <v>0.35744159495812977</v>
      </c>
      <c r="AB88" s="1">
        <v>-1.3616259273589064</v>
      </c>
      <c r="AC88" s="1">
        <v>-0.88285273082257643</v>
      </c>
      <c r="AD88" s="1">
        <v>-1.1631240425705538</v>
      </c>
      <c r="AE88" s="1">
        <v>-0.96232888167311881</v>
      </c>
      <c r="AF88" s="1">
        <v>-0.76958627177232319</v>
      </c>
      <c r="AG88" s="1">
        <v>-0.22951883708931087</v>
      </c>
      <c r="AH88" s="1">
        <v>-0.33344892845880486</v>
      </c>
      <c r="AI88" s="1">
        <v>0.39282899936193516</v>
      </c>
      <c r="AJ88" s="1">
        <v>-0.39924504687330786</v>
      </c>
      <c r="AK88" s="1">
        <v>-0.51447454057436781</v>
      </c>
      <c r="AL88" s="1">
        <v>-1.3907028405777386</v>
      </c>
      <c r="AM88" s="1">
        <v>-0.91717649738305784</v>
      </c>
      <c r="AN88" s="1">
        <v>-0.48701131582715984</v>
      </c>
      <c r="AO88" s="1">
        <v>-0.13535717559318383</v>
      </c>
      <c r="AP88" s="1">
        <v>-0.66900054199248782</v>
      </c>
      <c r="AQ88" s="1">
        <v>-0.81255608460847395</v>
      </c>
      <c r="AR88" s="1">
        <v>0.20095282382301857</v>
      </c>
      <c r="AS88" s="1">
        <v>-0.15952143745741237</v>
      </c>
      <c r="AT88" s="2">
        <v>0.69413304585984059</v>
      </c>
      <c r="AU88" s="2">
        <v>0.5010817165825614</v>
      </c>
      <c r="AV88" s="2">
        <v>0.11825146934331859</v>
      </c>
      <c r="AW88" s="2">
        <v>-5.0160340894338407E-2</v>
      </c>
      <c r="AX88" s="2">
        <v>-0.16217899715994039</v>
      </c>
      <c r="AY88" s="2">
        <v>3.9040901475606016E-3</v>
      </c>
      <c r="AZ88" s="2">
        <v>0.25021833647211755</v>
      </c>
      <c r="BA88" s="2">
        <v>0.73102292289556958</v>
      </c>
      <c r="BB88" s="2">
        <v>-1.0406970839108773</v>
      </c>
      <c r="BC88" s="2">
        <v>-0.41975589092939852</v>
      </c>
      <c r="BD88" s="2">
        <v>0.3763839321465286</v>
      </c>
      <c r="BE88" s="2">
        <v>0.4816548083121176</v>
      </c>
      <c r="BF88" s="2">
        <v>-0.54814885447174033</v>
      </c>
      <c r="BG88" s="2">
        <v>0.3089784313262196</v>
      </c>
      <c r="BH88" s="2">
        <v>-0.4774886873654654</v>
      </c>
      <c r="BI88" s="2">
        <v>-1.9115827846768965</v>
      </c>
      <c r="BJ88" s="2">
        <v>-1.3083042031513763</v>
      </c>
      <c r="BK88" s="2">
        <v>-0.71340616784822641</v>
      </c>
      <c r="BL88" s="2">
        <v>-0.32322669059438641</v>
      </c>
      <c r="BM88" s="2">
        <v>-0.56905947609064444</v>
      </c>
      <c r="BN88" s="2">
        <v>-0.47633668600336537</v>
      </c>
      <c r="BO88" s="2">
        <v>-1.0916830736050365</v>
      </c>
      <c r="BP88" s="2">
        <v>-3.0112546333334433E-2</v>
      </c>
      <c r="BQ88" s="2">
        <v>0.56416405180191265</v>
      </c>
      <c r="BR88" s="2">
        <v>-5.3807188476477363E-2</v>
      </c>
      <c r="BS88" s="2">
        <v>0.1700688247527265</v>
      </c>
      <c r="BT88" s="2">
        <v>-0.48092053357477843</v>
      </c>
      <c r="BU88" s="2">
        <v>-0.66510694081548727</v>
      </c>
      <c r="BV88" s="2">
        <v>0.31826446550731752</v>
      </c>
      <c r="BW88" s="2">
        <v>-1.2815046795539273</v>
      </c>
      <c r="BX88" s="2">
        <v>-1.1001764935302074</v>
      </c>
      <c r="BY88" s="2">
        <v>-1.1430507352735373</v>
      </c>
      <c r="BZ88" s="2">
        <v>-3.7103771388993401E-2</v>
      </c>
      <c r="CA88" s="2">
        <v>1.9464498997532609E-2</v>
      </c>
      <c r="CB88" s="2">
        <v>-0.51344649517901542</v>
      </c>
      <c r="CC88" s="2">
        <v>-0.20337248474888542</v>
      </c>
      <c r="CE88">
        <f t="shared" si="12"/>
        <v>-0.46074589439474811</v>
      </c>
      <c r="CF88">
        <f t="shared" si="13"/>
        <v>-0.27952889476197262</v>
      </c>
      <c r="CG88">
        <f t="shared" si="14"/>
        <v>0.88195869744542721</v>
      </c>
      <c r="CH88">
        <f t="shared" si="15"/>
        <v>0.22883054123543775</v>
      </c>
      <c r="CI88">
        <f t="shared" si="16"/>
        <v>-0.18121699963277543</v>
      </c>
      <c r="CJ88">
        <f t="shared" si="17"/>
        <v>0.64048601220052315</v>
      </c>
      <c r="CK88" t="s">
        <v>125</v>
      </c>
    </row>
    <row r="89" spans="1:89" x14ac:dyDescent="0.2">
      <c r="A89" t="s">
        <v>126</v>
      </c>
      <c r="B89" s="1">
        <v>-1.3278368024935607</v>
      </c>
      <c r="C89" s="1">
        <v>-0.14857617502301473</v>
      </c>
      <c r="D89" s="1">
        <v>0.53123242616514632</v>
      </c>
      <c r="E89" s="1">
        <v>-0.99759035560281173</v>
      </c>
      <c r="F89" s="1">
        <v>3.2034920468715256E-2</v>
      </c>
      <c r="G89" s="1">
        <v>-0.5161902343032897</v>
      </c>
      <c r="H89" s="1">
        <v>-1.4897576002512527</v>
      </c>
      <c r="I89" s="1">
        <v>-0.62489429205210201</v>
      </c>
      <c r="J89" s="1">
        <v>-0.24741694629525074</v>
      </c>
      <c r="K89" s="1">
        <v>-0.67054554334621985</v>
      </c>
      <c r="L89" s="1">
        <v>-0.5714903481141882</v>
      </c>
      <c r="M89" s="1">
        <v>1.3922740220350964</v>
      </c>
      <c r="N89" s="1">
        <v>1.2345540974585263</v>
      </c>
      <c r="O89" s="1">
        <v>-1.5425192313692588</v>
      </c>
      <c r="P89" s="1">
        <v>-1.9387910222385236</v>
      </c>
      <c r="Q89" s="1">
        <v>-0.53712805255166063</v>
      </c>
      <c r="R89" s="1">
        <v>-1.4636601961116247</v>
      </c>
      <c r="S89" s="1">
        <v>0.31477430666157624</v>
      </c>
      <c r="T89" s="1">
        <v>-0.80611424343814275</v>
      </c>
      <c r="U89" s="1">
        <v>-0.59470361005538486</v>
      </c>
      <c r="V89" s="1">
        <v>-0.29251885134475375</v>
      </c>
      <c r="W89" s="1">
        <v>-0.48592583306653775</v>
      </c>
      <c r="X89" s="1">
        <v>0.2016639828426543</v>
      </c>
      <c r="Y89" s="1">
        <v>8.5951298156896283E-2</v>
      </c>
      <c r="Z89" s="1">
        <v>-0.50684599419525367</v>
      </c>
      <c r="AA89" s="1">
        <v>0.54260755996851096</v>
      </c>
      <c r="AB89" s="1">
        <v>-0.28637467687208895</v>
      </c>
      <c r="AC89" s="1">
        <v>0.30421683773499508</v>
      </c>
      <c r="AD89" s="1">
        <v>-1.0142104701603647</v>
      </c>
      <c r="AE89" s="1">
        <v>-0.18318213283666973</v>
      </c>
      <c r="AF89" s="1">
        <v>-0.63465590441376996</v>
      </c>
      <c r="AG89" s="1">
        <v>-0.55120759995519442</v>
      </c>
      <c r="AH89" s="1">
        <v>-5.5291491071900789E-2</v>
      </c>
      <c r="AI89" s="1">
        <v>4.8808192281175278E-2</v>
      </c>
      <c r="AJ89" s="1">
        <v>4.2860199287292344E-3</v>
      </c>
      <c r="AK89" s="1">
        <v>-7.9823918679460704E-2</v>
      </c>
      <c r="AL89" s="1">
        <v>-1.5381885156356918</v>
      </c>
      <c r="AM89" s="1">
        <v>-0.81039740451327669</v>
      </c>
      <c r="AN89" s="1">
        <v>0.39164585311355615</v>
      </c>
      <c r="AO89" s="1">
        <v>-0.19402077822237374</v>
      </c>
      <c r="AP89" s="1">
        <v>-0.37687131155160775</v>
      </c>
      <c r="AQ89" s="1">
        <v>-0.72288909995438833</v>
      </c>
      <c r="AR89" s="1">
        <v>-0.72037465775117904</v>
      </c>
      <c r="AS89" s="1">
        <v>-0.15912222723150593</v>
      </c>
      <c r="AT89" s="2">
        <v>0.92556391141130101</v>
      </c>
      <c r="AU89" s="2">
        <v>0.5503218788981874</v>
      </c>
      <c r="AV89" s="2">
        <v>-4.7853802108274945E-2</v>
      </c>
      <c r="AW89" s="2">
        <v>-0.60008363114051899</v>
      </c>
      <c r="AX89" s="2">
        <v>-0.62573476758634905</v>
      </c>
      <c r="AY89" s="2">
        <v>-0.23250298563785299</v>
      </c>
      <c r="AZ89" s="2">
        <v>-2.207306952948962E-3</v>
      </c>
      <c r="BA89" s="2">
        <v>0.63661975500450407</v>
      </c>
      <c r="BB89" s="2">
        <v>3.0148093143563218E-2</v>
      </c>
      <c r="BC89" s="2">
        <v>-0.65715047200389176</v>
      </c>
      <c r="BD89" s="2">
        <v>0.27130405980472622</v>
      </c>
      <c r="BE89" s="2">
        <v>9.0940216173168525E-2</v>
      </c>
      <c r="BF89" s="2">
        <v>-0.23129791835091595</v>
      </c>
      <c r="BG89" s="2">
        <v>0.37236100345678708</v>
      </c>
      <c r="BH89" s="2">
        <v>-1.3885567140300887</v>
      </c>
      <c r="BI89" s="2">
        <v>-1.8016279030806892</v>
      </c>
      <c r="BJ89" s="2">
        <v>0.87731202922598506</v>
      </c>
      <c r="BK89" s="2">
        <v>-0.2748223801203139</v>
      </c>
      <c r="BL89" s="2">
        <v>-0.95347845113323892</v>
      </c>
      <c r="BM89" s="2">
        <v>0.22317194325602807</v>
      </c>
      <c r="BN89" s="2">
        <v>-0.53268687428279893</v>
      </c>
      <c r="BO89" s="2">
        <v>0.56232951895917271</v>
      </c>
      <c r="BP89" s="2">
        <v>-9.6195373151809482E-3</v>
      </c>
      <c r="BQ89" s="2">
        <v>-0.48299554721889992</v>
      </c>
      <c r="BR89" s="2">
        <v>0.1948689999969842</v>
      </c>
      <c r="BS89" s="2">
        <v>0.18323526799770332</v>
      </c>
      <c r="BT89" s="2">
        <v>-0.51559658552513277</v>
      </c>
      <c r="BU89" s="2">
        <v>-0.98606119109060886</v>
      </c>
      <c r="BV89" s="2">
        <v>1.3135211273108314</v>
      </c>
      <c r="BW89" s="2">
        <v>-1.1866966102928989</v>
      </c>
      <c r="BX89" s="2">
        <v>-0.97080709435797885</v>
      </c>
      <c r="BY89" s="2">
        <v>2.8519207978091909</v>
      </c>
      <c r="BZ89" s="2">
        <v>0.94289967448663625</v>
      </c>
      <c r="CA89" s="2">
        <v>6.4962763568169019E-2</v>
      </c>
      <c r="CB89" s="2">
        <v>-0.81377667491575278</v>
      </c>
      <c r="CC89" s="2">
        <v>-0.58763478488132681</v>
      </c>
      <c r="CE89">
        <f t="shared" si="12"/>
        <v>-0.38647877281560755</v>
      </c>
      <c r="CF89">
        <f t="shared" si="13"/>
        <v>-7.8047505320075636E-2</v>
      </c>
      <c r="CG89">
        <f t="shared" si="14"/>
        <v>0.80751934827439131</v>
      </c>
      <c r="CH89">
        <f t="shared" si="15"/>
        <v>8.7437138456434388E-2</v>
      </c>
      <c r="CI89">
        <f t="shared" si="16"/>
        <v>-0.30843126749553185</v>
      </c>
      <c r="CJ89">
        <f t="shared" si="17"/>
        <v>1.0583040639233552</v>
      </c>
      <c r="CK89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53A1-1D93-D744-A55D-D72486BD4CD9}">
  <dimension ref="A1:AN89"/>
  <sheetViews>
    <sheetView workbookViewId="0">
      <selection activeCell="J9" sqref="J9"/>
    </sheetView>
  </sheetViews>
  <sheetFormatPr baseColWidth="10" defaultRowHeight="16" x14ac:dyDescent="0.2"/>
  <cols>
    <col min="1" max="1" width="21" bestFit="1" customWidth="1"/>
    <col min="2" max="27" width="12.83203125" bestFit="1" customWidth="1"/>
    <col min="29" max="30" width="12.83203125" bestFit="1" customWidth="1"/>
    <col min="31" max="32" width="12.1640625" bestFit="1" customWidth="1"/>
    <col min="33" max="33" width="12.83203125" bestFit="1" customWidth="1"/>
    <col min="34" max="34" width="12.1640625" bestFit="1" customWidth="1"/>
    <col min="35" max="35" width="21" bestFit="1" customWidth="1"/>
    <col min="38" max="38" width="21" bestFit="1" customWidth="1"/>
    <col min="39" max="39" width="12.83203125" bestFit="1" customWidth="1"/>
    <col min="40" max="40" width="12.1640625" bestFit="1" customWidth="1"/>
  </cols>
  <sheetData>
    <row r="1" spans="1:40" x14ac:dyDescent="0.2">
      <c r="A1" t="s">
        <v>0</v>
      </c>
      <c r="B1" t="s">
        <v>138</v>
      </c>
      <c r="C1" t="s">
        <v>140</v>
      </c>
      <c r="D1" t="s">
        <v>142</v>
      </c>
      <c r="E1" t="s">
        <v>144</v>
      </c>
      <c r="F1" t="s">
        <v>146</v>
      </c>
      <c r="G1" t="s">
        <v>148</v>
      </c>
      <c r="H1" t="s">
        <v>150</v>
      </c>
      <c r="I1" t="s">
        <v>152</v>
      </c>
      <c r="J1" t="s">
        <v>154</v>
      </c>
      <c r="K1" t="s">
        <v>156</v>
      </c>
      <c r="L1" t="s">
        <v>158</v>
      </c>
      <c r="M1" t="s">
        <v>160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L1" t="s">
        <v>131</v>
      </c>
      <c r="AM1" t="s">
        <v>129</v>
      </c>
      <c r="AN1" t="s">
        <v>130</v>
      </c>
    </row>
    <row r="2" spans="1:40" x14ac:dyDescent="0.2">
      <c r="A2" t="s">
        <v>17</v>
      </c>
      <c r="B2" t="s">
        <v>206</v>
      </c>
      <c r="C2" t="s">
        <v>207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258</v>
      </c>
      <c r="T2" t="s">
        <v>259</v>
      </c>
      <c r="U2" t="s">
        <v>260</v>
      </c>
      <c r="V2" t="s">
        <v>261</v>
      </c>
      <c r="W2" t="s">
        <v>262</v>
      </c>
      <c r="X2" t="s">
        <v>263</v>
      </c>
      <c r="Y2" t="s">
        <v>264</v>
      </c>
      <c r="Z2" t="s">
        <v>265</v>
      </c>
      <c r="AA2" t="s">
        <v>266</v>
      </c>
      <c r="AL2" t="s">
        <v>81</v>
      </c>
      <c r="AM2">
        <v>-0.97627677289602288</v>
      </c>
      <c r="AN2">
        <v>1.0238892246920364</v>
      </c>
    </row>
    <row r="3" spans="1:40" x14ac:dyDescent="0.2">
      <c r="A3" t="s">
        <v>27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L3" t="s">
        <v>55</v>
      </c>
      <c r="AM3">
        <v>-1.2329024182622317</v>
      </c>
      <c r="AN3">
        <v>1.0024137846746717</v>
      </c>
    </row>
    <row r="4" spans="1:40" x14ac:dyDescent="0.2">
      <c r="A4" t="s">
        <v>28</v>
      </c>
      <c r="B4" t="s">
        <v>236</v>
      </c>
      <c r="C4" t="s">
        <v>236</v>
      </c>
      <c r="D4" t="s">
        <v>236</v>
      </c>
      <c r="E4" t="s">
        <v>236</v>
      </c>
      <c r="F4" t="s">
        <v>236</v>
      </c>
      <c r="G4" t="s">
        <v>236</v>
      </c>
      <c r="H4" t="s">
        <v>236</v>
      </c>
      <c r="I4" t="s">
        <v>236</v>
      </c>
      <c r="J4" t="s">
        <v>236</v>
      </c>
      <c r="K4" t="s">
        <v>236</v>
      </c>
      <c r="L4" t="s">
        <v>236</v>
      </c>
      <c r="M4" t="s">
        <v>236</v>
      </c>
      <c r="N4" t="s">
        <v>236</v>
      </c>
      <c r="O4" t="s">
        <v>236</v>
      </c>
      <c r="P4" t="s">
        <v>236</v>
      </c>
      <c r="Q4" t="s">
        <v>236</v>
      </c>
      <c r="R4" t="s">
        <v>236</v>
      </c>
      <c r="S4" t="s">
        <v>236</v>
      </c>
      <c r="T4" t="s">
        <v>236</v>
      </c>
      <c r="U4" t="s">
        <v>236</v>
      </c>
      <c r="V4" t="s">
        <v>236</v>
      </c>
      <c r="W4" t="s">
        <v>236</v>
      </c>
      <c r="X4" t="s">
        <v>236</v>
      </c>
      <c r="Y4" t="s">
        <v>236</v>
      </c>
      <c r="Z4" t="s">
        <v>236</v>
      </c>
      <c r="AA4" t="s">
        <v>236</v>
      </c>
      <c r="AL4" t="s">
        <v>118</v>
      </c>
      <c r="AM4">
        <v>-0.36918924394858604</v>
      </c>
      <c r="AN4">
        <v>0.93388278197142238</v>
      </c>
    </row>
    <row r="5" spans="1:40" x14ac:dyDescent="0.2">
      <c r="A5" t="s">
        <v>30</v>
      </c>
      <c r="B5" t="s">
        <v>32</v>
      </c>
      <c r="C5" t="s">
        <v>33</v>
      </c>
      <c r="D5" t="s">
        <v>32</v>
      </c>
      <c r="E5" t="s">
        <v>31</v>
      </c>
      <c r="F5" t="s">
        <v>31</v>
      </c>
      <c r="G5" t="s">
        <v>31</v>
      </c>
      <c r="H5" t="s">
        <v>33</v>
      </c>
      <c r="I5" t="s">
        <v>32</v>
      </c>
      <c r="J5" t="s">
        <v>31</v>
      </c>
      <c r="K5" t="s">
        <v>31</v>
      </c>
      <c r="L5" t="s">
        <v>31</v>
      </c>
      <c r="M5" t="s">
        <v>237</v>
      </c>
      <c r="N5" t="s">
        <v>31</v>
      </c>
      <c r="O5" t="s">
        <v>32</v>
      </c>
      <c r="P5" t="s">
        <v>32</v>
      </c>
      <c r="Q5" t="s">
        <v>34</v>
      </c>
      <c r="R5" t="s">
        <v>31</v>
      </c>
      <c r="S5" t="s">
        <v>31</v>
      </c>
      <c r="T5" t="s">
        <v>32</v>
      </c>
      <c r="U5" t="s">
        <v>32</v>
      </c>
      <c r="V5" t="s">
        <v>34</v>
      </c>
      <c r="W5" t="s">
        <v>31</v>
      </c>
      <c r="X5" t="s">
        <v>34</v>
      </c>
      <c r="Y5" t="s">
        <v>31</v>
      </c>
      <c r="Z5" t="s">
        <v>31</v>
      </c>
      <c r="AA5" t="s">
        <v>31</v>
      </c>
      <c r="AL5" t="s">
        <v>92</v>
      </c>
      <c r="AM5">
        <v>0.42600101322380135</v>
      </c>
      <c r="AN5">
        <v>0.92216772155151661</v>
      </c>
    </row>
    <row r="6" spans="1:40" x14ac:dyDescent="0.2">
      <c r="A6" t="s">
        <v>35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L6" t="s">
        <v>51</v>
      </c>
      <c r="AM6">
        <v>0.75664779644955305</v>
      </c>
      <c r="AN6">
        <v>0.89840291734120492</v>
      </c>
    </row>
    <row r="7" spans="1:40" x14ac:dyDescent="0.2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39</v>
      </c>
      <c r="I7">
        <v>0</v>
      </c>
      <c r="J7">
        <v>0</v>
      </c>
      <c r="K7">
        <v>0</v>
      </c>
      <c r="L7">
        <v>0</v>
      </c>
      <c r="M7">
        <v>0</v>
      </c>
      <c r="N7" t="s">
        <v>40</v>
      </c>
      <c r="O7" t="s">
        <v>40</v>
      </c>
      <c r="P7">
        <v>0</v>
      </c>
      <c r="Q7" t="s">
        <v>40</v>
      </c>
      <c r="R7" t="s">
        <v>40</v>
      </c>
      <c r="S7" t="s">
        <v>40</v>
      </c>
      <c r="T7" t="s">
        <v>40</v>
      </c>
      <c r="U7">
        <v>0</v>
      </c>
      <c r="V7" t="s">
        <v>40</v>
      </c>
      <c r="W7" t="s">
        <v>40</v>
      </c>
      <c r="X7">
        <v>0</v>
      </c>
      <c r="Y7" t="s">
        <v>40</v>
      </c>
      <c r="Z7">
        <v>0</v>
      </c>
      <c r="AA7" t="s">
        <v>40</v>
      </c>
      <c r="AL7" t="s">
        <v>59</v>
      </c>
      <c r="AM7">
        <v>0.62952120567967751</v>
      </c>
      <c r="AN7">
        <v>0.82109627869775426</v>
      </c>
    </row>
    <row r="8" spans="1:40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L8" t="s">
        <v>61</v>
      </c>
      <c r="AM8">
        <v>0.68461798651727335</v>
      </c>
      <c r="AN8">
        <v>0.7110004070098267</v>
      </c>
    </row>
    <row r="9" spans="1:40" x14ac:dyDescent="0.2">
      <c r="A9" t="s">
        <v>43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L9" t="s">
        <v>80</v>
      </c>
      <c r="AM9">
        <v>-0.93543892902126469</v>
      </c>
      <c r="AN9">
        <v>0.69627741107343022</v>
      </c>
    </row>
    <row r="10" spans="1:40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L10" t="s">
        <v>69</v>
      </c>
      <c r="AM10">
        <v>-0.23712158368141412</v>
      </c>
      <c r="AN10">
        <v>0.69505050822683034</v>
      </c>
    </row>
    <row r="11" spans="1:40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 t="s">
        <v>241</v>
      </c>
      <c r="AD11" t="s">
        <v>243</v>
      </c>
      <c r="AE11" t="s">
        <v>127</v>
      </c>
      <c r="AF11" t="s">
        <v>128</v>
      </c>
      <c r="AG11" t="s">
        <v>129</v>
      </c>
      <c r="AH11" t="s">
        <v>130</v>
      </c>
      <c r="AI11" t="s">
        <v>131</v>
      </c>
      <c r="AL11" t="s">
        <v>120</v>
      </c>
      <c r="AM11">
        <v>0.55556886819542095</v>
      </c>
      <c r="AN11">
        <v>0.68910254529808512</v>
      </c>
    </row>
    <row r="12" spans="1:40" x14ac:dyDescent="0.2">
      <c r="A12" t="s">
        <v>48</v>
      </c>
      <c r="B12" s="1">
        <v>1.0534429614420922</v>
      </c>
      <c r="C12" s="1">
        <v>-0.16695401918372488</v>
      </c>
      <c r="D12" s="1">
        <v>1.9453596421077521</v>
      </c>
      <c r="E12" s="1">
        <v>-0.51671004370796592</v>
      </c>
      <c r="F12" s="1">
        <v>2.3587988486094522</v>
      </c>
      <c r="G12" s="1">
        <v>-0.22548518557383887</v>
      </c>
      <c r="H12" s="1">
        <v>0.75851275933157547</v>
      </c>
      <c r="I12" s="1">
        <v>-1.1729983108316966</v>
      </c>
      <c r="J12" s="1">
        <v>-0.91110741421611652</v>
      </c>
      <c r="K12" s="1">
        <v>-0.70862026139860146</v>
      </c>
      <c r="L12" s="1">
        <v>-1.4805899341104567</v>
      </c>
      <c r="M12" s="1">
        <v>0.87618479318057552</v>
      </c>
      <c r="N12" s="2">
        <v>-0.87029323807236247</v>
      </c>
      <c r="O12" s="2">
        <v>2.4041772857488066</v>
      </c>
      <c r="P12" s="2">
        <v>-1.0296243217249474</v>
      </c>
      <c r="Q12" s="2">
        <v>-0.6471420824024875</v>
      </c>
      <c r="R12" s="2">
        <v>1.0492242272284709</v>
      </c>
      <c r="S12" s="2">
        <v>1.2009309415091509</v>
      </c>
      <c r="T12" s="2">
        <v>-1.4706549328543734</v>
      </c>
      <c r="U12" s="2">
        <v>-1.5761700946552493E-2</v>
      </c>
      <c r="V12" s="2">
        <v>-0.64276910766251449</v>
      </c>
      <c r="W12" s="2">
        <v>0.29403583286211449</v>
      </c>
      <c r="X12" s="2">
        <v>3.7615666932569514E-2</v>
      </c>
      <c r="Y12" s="2">
        <v>1.1890686588198867</v>
      </c>
      <c r="Z12" s="2">
        <v>2.5955106206965466</v>
      </c>
      <c r="AA12" s="2">
        <v>5.141106719283016</v>
      </c>
      <c r="AC12">
        <f t="shared" ref="AC12:AC43" si="0">AVERAGE(B12:M12)</f>
        <v>0.15081948630408723</v>
      </c>
      <c r="AD12">
        <f t="shared" ref="AD12:AD43" si="1">AVERAGE(N12:AA12)</f>
        <v>0.65967318352980886</v>
      </c>
      <c r="AE12">
        <f t="shared" ref="AE12:AE43" si="2">2^(AC12 - AD12)</f>
        <v>0.70278061501906042</v>
      </c>
      <c r="AF12">
        <f t="shared" ref="AF12:AF43" si="3">_xlfn.T.TEST(B12:M12,N12:AA12, 2, 3)</f>
        <v>0.40270094497797282</v>
      </c>
      <c r="AG12">
        <f t="shared" ref="AG12:AG43" si="4">LOG(AE12,2)</f>
        <v>-0.50885369722572182</v>
      </c>
      <c r="AH12">
        <f t="shared" ref="AH12:AH43" si="5">-LOG(AF12,10)</f>
        <v>0.39501735127601117</v>
      </c>
      <c r="AI12" t="s">
        <v>48</v>
      </c>
      <c r="AL12" t="s">
        <v>54</v>
      </c>
      <c r="AM12">
        <v>-0.69480022618171455</v>
      </c>
      <c r="AN12">
        <v>0.67897145348969645</v>
      </c>
    </row>
    <row r="13" spans="1:40" x14ac:dyDescent="0.2">
      <c r="A13" t="s">
        <v>49</v>
      </c>
      <c r="B13" s="1">
        <v>0.70601777574332714</v>
      </c>
      <c r="C13" s="1">
        <v>-0.66413481473539193</v>
      </c>
      <c r="D13" s="1">
        <v>1.8400616891342092</v>
      </c>
      <c r="E13" s="1">
        <v>0.5281447873708971</v>
      </c>
      <c r="F13" s="1">
        <v>3.121202552491579</v>
      </c>
      <c r="G13" s="1">
        <v>0.77451105274001508</v>
      </c>
      <c r="H13" s="1">
        <v>2.0127340920931305</v>
      </c>
      <c r="I13" s="1">
        <v>8.91119628789315E-2</v>
      </c>
      <c r="J13" s="1">
        <v>0.44859610065854949</v>
      </c>
      <c r="K13" s="1">
        <v>0.55272768372544845</v>
      </c>
      <c r="L13" s="1">
        <v>-0.19662882301192247</v>
      </c>
      <c r="M13" s="1">
        <v>2.8285247068274506</v>
      </c>
      <c r="N13" s="2">
        <v>-1.2548919064498749</v>
      </c>
      <c r="O13" s="2">
        <v>1.6676478016845553</v>
      </c>
      <c r="P13" s="2">
        <v>-1.1399648430650546</v>
      </c>
      <c r="Q13" s="2">
        <v>0.39997618861760725</v>
      </c>
      <c r="R13" s="2">
        <v>1.2053418496306585</v>
      </c>
      <c r="S13" s="2">
        <v>2.0825640506743084</v>
      </c>
      <c r="T13" s="2">
        <v>-0.19210944904285077</v>
      </c>
      <c r="U13" s="2">
        <v>1.533930065342715</v>
      </c>
      <c r="V13" s="2">
        <v>-7.7008199394226762E-4</v>
      </c>
      <c r="W13" s="2">
        <v>0.37467830903289423</v>
      </c>
      <c r="X13" s="2">
        <v>0.64414050641407627</v>
      </c>
      <c r="Y13" s="2">
        <v>0.54291695845664723</v>
      </c>
      <c r="Z13" s="2">
        <v>2.7659050913170851</v>
      </c>
      <c r="AA13" s="2">
        <v>3.4513899960647949</v>
      </c>
      <c r="AC13">
        <f t="shared" si="0"/>
        <v>1.0034057304930186</v>
      </c>
      <c r="AD13">
        <f t="shared" si="1"/>
        <v>0.86291103833454408</v>
      </c>
      <c r="AE13">
        <f t="shared" si="2"/>
        <v>1.1022830178392446</v>
      </c>
      <c r="AF13">
        <f t="shared" si="3"/>
        <v>0.78068600397119536</v>
      </c>
      <c r="AG13">
        <f t="shared" si="4"/>
        <v>0.14049469215847465</v>
      </c>
      <c r="AH13">
        <f t="shared" si="5"/>
        <v>0.10752360653586877</v>
      </c>
      <c r="AI13" t="s">
        <v>49</v>
      </c>
      <c r="AL13" t="s">
        <v>86</v>
      </c>
      <c r="AM13">
        <v>-0.20289150701628553</v>
      </c>
      <c r="AN13">
        <v>0.6608837040179486</v>
      </c>
    </row>
    <row r="14" spans="1:40" x14ac:dyDescent="0.2">
      <c r="A14" t="s">
        <v>50</v>
      </c>
      <c r="B14" s="1">
        <v>-0.45048158143766903</v>
      </c>
      <c r="C14" s="1">
        <v>-1.2729798461797559</v>
      </c>
      <c r="D14" s="1">
        <v>2.457948965096084</v>
      </c>
      <c r="E14" s="1">
        <v>0.23159982458602946</v>
      </c>
      <c r="F14" s="1">
        <v>2.492096256110794</v>
      </c>
      <c r="G14" s="1">
        <v>-0.291118586556111</v>
      </c>
      <c r="H14" s="1">
        <v>1.2501501699336726E-2</v>
      </c>
      <c r="I14" s="1">
        <v>-0.11047932593081927</v>
      </c>
      <c r="J14" s="1">
        <v>-0.4860238451523553</v>
      </c>
      <c r="K14" s="1">
        <v>-1.3987756948312784</v>
      </c>
      <c r="L14" s="1">
        <v>-3.2073131651397302E-2</v>
      </c>
      <c r="M14" s="1">
        <v>1.0563074671958967</v>
      </c>
      <c r="N14" s="2">
        <v>-1.3461682657620857</v>
      </c>
      <c r="O14" s="2">
        <v>-1.1199795568058717</v>
      </c>
      <c r="P14" s="2">
        <v>-1.7943604461480376</v>
      </c>
      <c r="Q14" s="2">
        <v>-1.8066078921711477</v>
      </c>
      <c r="R14" s="2">
        <v>-2.7286937396075239E-2</v>
      </c>
      <c r="S14" s="2">
        <v>1.5666975827492395</v>
      </c>
      <c r="T14" s="2">
        <v>-0.85619654099937359</v>
      </c>
      <c r="U14" s="2">
        <v>0.39436845984451141</v>
      </c>
      <c r="V14" s="2" t="s">
        <v>67</v>
      </c>
      <c r="W14" s="2">
        <v>0.37207764515091235</v>
      </c>
      <c r="X14" s="2">
        <v>-0.94434386514798463</v>
      </c>
      <c r="Y14" s="2">
        <v>1.2905309738503123</v>
      </c>
      <c r="Z14" s="2">
        <v>-0.33558411812604722</v>
      </c>
      <c r="AA14" s="2">
        <v>0.61621177672841732</v>
      </c>
      <c r="AC14">
        <f t="shared" si="0"/>
        <v>0.18404350024572955</v>
      </c>
      <c r="AD14">
        <f t="shared" si="1"/>
        <v>-0.30697239878717153</v>
      </c>
      <c r="AE14">
        <f t="shared" si="2"/>
        <v>1.4054341885259038</v>
      </c>
      <c r="AF14">
        <f t="shared" si="3"/>
        <v>0.31177806569068039</v>
      </c>
      <c r="AG14">
        <f t="shared" si="4"/>
        <v>0.49101589903290122</v>
      </c>
      <c r="AH14">
        <f t="shared" si="5"/>
        <v>0.50615444169554247</v>
      </c>
      <c r="AI14" t="s">
        <v>50</v>
      </c>
      <c r="AL14" t="s">
        <v>50</v>
      </c>
      <c r="AM14">
        <v>0.49101589903290122</v>
      </c>
      <c r="AN14">
        <v>0.50615444169554247</v>
      </c>
    </row>
    <row r="15" spans="1:40" x14ac:dyDescent="0.2">
      <c r="A15" t="s">
        <v>51</v>
      </c>
      <c r="B15" s="1">
        <v>-1.3821616182830003</v>
      </c>
      <c r="C15" s="1">
        <v>-0.10613106049205134</v>
      </c>
      <c r="D15" s="1">
        <v>2.7116460416507495</v>
      </c>
      <c r="E15" s="1">
        <v>0.81510590484405765</v>
      </c>
      <c r="F15" s="1">
        <v>1.1086208044013888</v>
      </c>
      <c r="G15" s="1">
        <v>2.6793605006672196</v>
      </c>
      <c r="H15" s="1">
        <v>0.83356286030473936</v>
      </c>
      <c r="I15" s="1">
        <v>-0.15519747108748366</v>
      </c>
      <c r="J15" s="1">
        <v>7.3082514173550328E-2</v>
      </c>
      <c r="K15" s="1">
        <v>-0.76205202102305769</v>
      </c>
      <c r="L15" s="1">
        <v>0.57930118329377334</v>
      </c>
      <c r="M15" s="1">
        <v>0.29895185855850115</v>
      </c>
      <c r="N15" s="2">
        <v>-0.91349113586136865</v>
      </c>
      <c r="O15" s="2">
        <v>-1.6463253210811608</v>
      </c>
      <c r="P15" s="2">
        <v>-2.1138522577329306</v>
      </c>
      <c r="Q15" s="2">
        <v>-2.0121755182990908</v>
      </c>
      <c r="R15" s="2">
        <v>-0.53554473797511548</v>
      </c>
      <c r="S15" s="2">
        <v>9.6107872028318608E-2</v>
      </c>
      <c r="T15" s="2">
        <v>0.29378871218557634</v>
      </c>
      <c r="U15" s="2">
        <v>0.59596507053754133</v>
      </c>
      <c r="V15" s="2">
        <v>-3.775389561603168E-2</v>
      </c>
      <c r="W15" s="2">
        <v>0.40830254208610928</v>
      </c>
      <c r="X15" s="2">
        <v>-0.62442880707102666</v>
      </c>
      <c r="Y15" s="2">
        <v>0.3542746293837743</v>
      </c>
      <c r="Z15" s="2">
        <v>2.1104548488815493</v>
      </c>
      <c r="AA15" s="2">
        <v>1.2413799280832292</v>
      </c>
      <c r="AC15">
        <f t="shared" si="0"/>
        <v>0.55784079141736553</v>
      </c>
      <c r="AD15">
        <f t="shared" si="1"/>
        <v>-0.19880700503218757</v>
      </c>
      <c r="AE15">
        <f t="shared" si="2"/>
        <v>1.6895602479915421</v>
      </c>
      <c r="AF15">
        <f t="shared" si="3"/>
        <v>0.12635635305991655</v>
      </c>
      <c r="AG15">
        <f t="shared" si="4"/>
        <v>0.75664779644955305</v>
      </c>
      <c r="AH15">
        <f t="shared" si="5"/>
        <v>0.89840291734120492</v>
      </c>
      <c r="AI15" t="s">
        <v>51</v>
      </c>
      <c r="AL15" t="s">
        <v>76</v>
      </c>
      <c r="AM15">
        <v>-0.8692588396953338</v>
      </c>
      <c r="AN15">
        <v>0.49448170332285868</v>
      </c>
    </row>
    <row r="16" spans="1:40" x14ac:dyDescent="0.2">
      <c r="A16" t="s">
        <v>52</v>
      </c>
      <c r="B16" s="1">
        <v>-0.11556075743817829</v>
      </c>
      <c r="C16" s="1">
        <v>1.451381280626082</v>
      </c>
      <c r="D16" s="1">
        <v>1.9000640049694018</v>
      </c>
      <c r="E16" s="1">
        <v>-0.23562342621334026</v>
      </c>
      <c r="F16" s="1">
        <v>0.32993537889629165</v>
      </c>
      <c r="G16" s="1">
        <v>1.6432714446735774E-2</v>
      </c>
      <c r="H16" s="1">
        <v>0.63965853363981495</v>
      </c>
      <c r="I16" s="1">
        <v>-0.45626712633353328</v>
      </c>
      <c r="J16" s="1">
        <v>0.72177068073636375</v>
      </c>
      <c r="K16" s="1">
        <v>-0.6659936123109832</v>
      </c>
      <c r="L16" s="1">
        <v>-0.33419309738373126</v>
      </c>
      <c r="M16" s="1">
        <v>-1.2789994676414231</v>
      </c>
      <c r="N16" s="2">
        <v>-8.0246933281139743E-2</v>
      </c>
      <c r="O16" s="2">
        <v>4.1365886327439032</v>
      </c>
      <c r="P16" s="2">
        <v>-1.5480526651861568</v>
      </c>
      <c r="Q16" s="2">
        <v>-0.83625322368147681</v>
      </c>
      <c r="R16" s="2">
        <v>-0.17175622439120897</v>
      </c>
      <c r="S16" s="2">
        <v>-0.42277188175659497</v>
      </c>
      <c r="T16" s="2">
        <v>-0.29456337921596476</v>
      </c>
      <c r="U16" s="2">
        <v>2.3216279942486233</v>
      </c>
      <c r="V16" s="2">
        <v>-0.76433388832235671</v>
      </c>
      <c r="W16" s="2">
        <v>0.66312167913099029</v>
      </c>
      <c r="X16" s="2">
        <v>-0.24901564745344273</v>
      </c>
      <c r="Y16" s="2">
        <v>0.12770230342145827</v>
      </c>
      <c r="Z16" s="2">
        <v>0.15263233802761528</v>
      </c>
      <c r="AA16" s="2">
        <v>-6.2319845984623701E-2</v>
      </c>
      <c r="AC16">
        <f t="shared" si="0"/>
        <v>0.16438375883279169</v>
      </c>
      <c r="AD16">
        <f t="shared" si="1"/>
        <v>0.21231137559283034</v>
      </c>
      <c r="AE16">
        <f t="shared" si="2"/>
        <v>0.9673248612502896</v>
      </c>
      <c r="AF16">
        <f t="shared" si="3"/>
        <v>0.91811872741812306</v>
      </c>
      <c r="AG16">
        <f t="shared" si="4"/>
        <v>-4.7927616760038622E-2</v>
      </c>
      <c r="AH16">
        <f t="shared" si="5"/>
        <v>3.7101153952940828E-2</v>
      </c>
      <c r="AI16" t="s">
        <v>52</v>
      </c>
      <c r="AL16" t="s">
        <v>121</v>
      </c>
      <c r="AM16">
        <v>0.60923437963785798</v>
      </c>
      <c r="AN16">
        <v>0.43887587914454029</v>
      </c>
    </row>
    <row r="17" spans="1:40" x14ac:dyDescent="0.2">
      <c r="A17" t="s">
        <v>53</v>
      </c>
      <c r="B17" s="1">
        <v>-2.4773031424904746</v>
      </c>
      <c r="C17" s="1">
        <v>-2.2245451392770748</v>
      </c>
      <c r="D17" s="1">
        <v>-1.6874609349114047</v>
      </c>
      <c r="E17" s="1">
        <v>-2.2711388307975646</v>
      </c>
      <c r="F17" s="1">
        <v>0.23895052012813545</v>
      </c>
      <c r="G17" s="1">
        <v>-2.6611574052927747</v>
      </c>
      <c r="H17" s="1">
        <v>-1.2372336381296845</v>
      </c>
      <c r="I17" s="1">
        <v>-2.3103938688314241</v>
      </c>
      <c r="J17" s="1">
        <v>-1.4241741700004245</v>
      </c>
      <c r="K17" s="1">
        <v>-2.604216557738944</v>
      </c>
      <c r="L17" s="1">
        <v>-2.5324971825556348</v>
      </c>
      <c r="M17" s="1">
        <v>-3.7643594941215444</v>
      </c>
      <c r="N17" s="2">
        <v>-2.007605433839144</v>
      </c>
      <c r="O17" s="2">
        <v>0.16230220063758555</v>
      </c>
      <c r="P17" s="2">
        <v>-2.5960733358472146</v>
      </c>
      <c r="Q17" s="2">
        <v>-3.1680477982883648</v>
      </c>
      <c r="R17" s="2">
        <v>-1.3254288103383793</v>
      </c>
      <c r="S17" s="2">
        <v>-2.7373721901815093</v>
      </c>
      <c r="T17" s="2">
        <v>-2.7441223773738148</v>
      </c>
      <c r="U17" s="2">
        <v>-2.0665082353158946</v>
      </c>
      <c r="V17" s="2">
        <v>-3.1917951648804843</v>
      </c>
      <c r="W17" s="2">
        <v>-1.2055759937580444</v>
      </c>
      <c r="X17" s="2">
        <v>-1.8365297563021545</v>
      </c>
      <c r="Y17" s="2">
        <v>-1.8345357436473246</v>
      </c>
      <c r="Z17" s="2">
        <v>-2.0168920656236748</v>
      </c>
      <c r="AA17" s="2">
        <v>-1.2887992023784345</v>
      </c>
      <c r="AC17">
        <f t="shared" si="0"/>
        <v>-2.0796274870015679</v>
      </c>
      <c r="AD17">
        <f t="shared" si="1"/>
        <v>-1.9897845647954899</v>
      </c>
      <c r="AE17">
        <f t="shared" si="2"/>
        <v>0.93962504816902614</v>
      </c>
      <c r="AF17">
        <f t="shared" si="3"/>
        <v>0.81127367345833734</v>
      </c>
      <c r="AG17">
        <f t="shared" si="4"/>
        <v>-8.9842922206078007E-2</v>
      </c>
      <c r="AH17">
        <f t="shared" si="5"/>
        <v>9.0832617030014495E-2</v>
      </c>
      <c r="AI17" t="s">
        <v>53</v>
      </c>
      <c r="AL17" t="s">
        <v>48</v>
      </c>
      <c r="AM17">
        <v>-0.50885369722572182</v>
      </c>
      <c r="AN17">
        <v>0.39501735127601117</v>
      </c>
    </row>
    <row r="18" spans="1:40" x14ac:dyDescent="0.2">
      <c r="A18" t="s">
        <v>54</v>
      </c>
      <c r="B18" s="1">
        <v>-1.8466673057921561</v>
      </c>
      <c r="C18" s="1">
        <v>0.92406116049221609</v>
      </c>
      <c r="D18" s="1">
        <v>1.946096141385254</v>
      </c>
      <c r="E18" s="1">
        <v>-0.54498302659779585</v>
      </c>
      <c r="F18" s="1">
        <v>0.27530193072501408</v>
      </c>
      <c r="G18" s="1">
        <v>2.614863320628614</v>
      </c>
      <c r="H18" s="1">
        <v>-0.52382189606429985</v>
      </c>
      <c r="I18" s="1">
        <v>-0.54500145884556483</v>
      </c>
      <c r="J18" s="1">
        <v>1.7688803868867202</v>
      </c>
      <c r="K18" s="1">
        <v>1.02677865770828</v>
      </c>
      <c r="L18" s="1">
        <v>-0.29910659374750881</v>
      </c>
      <c r="M18" s="1">
        <v>-1.1172033683771998</v>
      </c>
      <c r="N18" s="2">
        <v>-0.11866364199590929</v>
      </c>
      <c r="O18" s="2">
        <v>3.23191153445388</v>
      </c>
      <c r="P18" s="2">
        <v>0.93840107499543568</v>
      </c>
      <c r="Q18" s="2">
        <v>0.54902721308130076</v>
      </c>
      <c r="R18" s="2">
        <v>2.3040149946282513</v>
      </c>
      <c r="S18" s="2">
        <v>2.6207849191705712</v>
      </c>
      <c r="T18" s="2">
        <v>-0.58908503676969826</v>
      </c>
      <c r="U18" s="2">
        <v>0.9245994284518837</v>
      </c>
      <c r="V18" s="2">
        <v>-0.87689772833493329</v>
      </c>
      <c r="W18" s="2">
        <v>-0.2966450447420203</v>
      </c>
      <c r="X18" s="2">
        <v>-0.47017957154050727</v>
      </c>
      <c r="Y18" s="2">
        <v>1.2897028512451096</v>
      </c>
      <c r="Z18" s="2">
        <v>2.9519165056166599</v>
      </c>
      <c r="AA18" s="2">
        <v>1.5607132747524797</v>
      </c>
      <c r="AC18">
        <f t="shared" si="0"/>
        <v>0.30659982903346444</v>
      </c>
      <c r="AD18">
        <f t="shared" si="1"/>
        <v>1.0014000552151789</v>
      </c>
      <c r="AE18">
        <f t="shared" si="2"/>
        <v>0.6177948603376916</v>
      </c>
      <c r="AF18">
        <f t="shared" si="3"/>
        <v>0.20942501079971004</v>
      </c>
      <c r="AG18">
        <f t="shared" si="4"/>
        <v>-0.69480022618171455</v>
      </c>
      <c r="AH18">
        <f t="shared" si="5"/>
        <v>0.67897145348969645</v>
      </c>
      <c r="AI18" t="s">
        <v>54</v>
      </c>
      <c r="AL18" t="s">
        <v>65</v>
      </c>
      <c r="AM18">
        <v>0.3182655160204616</v>
      </c>
      <c r="AN18">
        <v>0.39131816967015381</v>
      </c>
    </row>
    <row r="19" spans="1:40" x14ac:dyDescent="0.2">
      <c r="A19" t="s">
        <v>55</v>
      </c>
      <c r="B19" s="1">
        <v>-1.3501244844077847</v>
      </c>
      <c r="C19" s="1">
        <v>0.43066109155408527</v>
      </c>
      <c r="D19" s="1">
        <v>1.0077747914050654</v>
      </c>
      <c r="E19" s="1">
        <v>2.0346967475260866E-2</v>
      </c>
      <c r="F19" s="1">
        <v>-9.840465951439234E-2</v>
      </c>
      <c r="G19" s="1">
        <v>0.79895497850381025</v>
      </c>
      <c r="H19" s="1">
        <v>-0.52275316039159725</v>
      </c>
      <c r="I19" s="1">
        <v>-1.0026826536805282</v>
      </c>
      <c r="J19" s="1">
        <v>2.5339160001719616</v>
      </c>
      <c r="K19" s="1">
        <v>-0.65094846864860922</v>
      </c>
      <c r="L19" s="1">
        <v>-0.63392922577137423</v>
      </c>
      <c r="M19" s="1">
        <v>-1.1925083744007283</v>
      </c>
      <c r="N19" s="2">
        <v>-1.7269844961896026</v>
      </c>
      <c r="O19" s="2">
        <v>1.5342282709556574</v>
      </c>
      <c r="P19" s="2">
        <v>0.48719714284020843</v>
      </c>
      <c r="Q19" s="2">
        <v>3.8868819384564475</v>
      </c>
      <c r="R19" s="2">
        <v>0.7263058860233309</v>
      </c>
      <c r="S19" s="2">
        <v>0.27703822727468075</v>
      </c>
      <c r="T19" s="2">
        <v>-1.3520105606132227</v>
      </c>
      <c r="U19" s="2">
        <v>4.9136145284175967</v>
      </c>
      <c r="V19" s="2">
        <v>-0.8416001105648635</v>
      </c>
      <c r="W19" s="2">
        <v>-0.85772302626662855</v>
      </c>
      <c r="X19" s="2">
        <v>3.6857366111369076</v>
      </c>
      <c r="Y19" s="2">
        <v>4.7331034923357675</v>
      </c>
      <c r="Z19" s="2">
        <v>-1.4485208453565726</v>
      </c>
      <c r="AA19" s="2">
        <v>2.4737200665658974</v>
      </c>
      <c r="AC19">
        <f t="shared" si="0"/>
        <v>-5.4974766475402559E-2</v>
      </c>
      <c r="AD19">
        <f t="shared" si="1"/>
        <v>1.1779276517868289</v>
      </c>
      <c r="AE19">
        <f t="shared" si="2"/>
        <v>0.42546064130237116</v>
      </c>
      <c r="AF19">
        <f t="shared" si="3"/>
        <v>9.9445747218941602E-2</v>
      </c>
      <c r="AG19">
        <f t="shared" si="4"/>
        <v>-1.2329024182622317</v>
      </c>
      <c r="AH19">
        <f t="shared" si="5"/>
        <v>1.0024137846746717</v>
      </c>
      <c r="AI19" t="s">
        <v>55</v>
      </c>
      <c r="AL19" t="s">
        <v>109</v>
      </c>
      <c r="AM19">
        <v>0.2199204666395809</v>
      </c>
      <c r="AN19">
        <v>0.38075503394310045</v>
      </c>
    </row>
    <row r="20" spans="1:40" x14ac:dyDescent="0.2">
      <c r="A20" t="s">
        <v>56</v>
      </c>
      <c r="B20" s="1">
        <v>-1.8020899899437837</v>
      </c>
      <c r="C20" s="1">
        <v>-3.0500754913244537</v>
      </c>
      <c r="D20" s="1">
        <v>1.4093921881132663</v>
      </c>
      <c r="E20" s="1">
        <v>-1.0579899821280616</v>
      </c>
      <c r="F20" s="1">
        <v>-0.64519002735746667</v>
      </c>
      <c r="G20" s="1">
        <v>-0.31347972323796458</v>
      </c>
      <c r="H20" s="1">
        <v>-1.3714493479217769</v>
      </c>
      <c r="I20" s="1">
        <v>-1.1753374118511368</v>
      </c>
      <c r="J20" s="1">
        <v>0.32023220452204615</v>
      </c>
      <c r="K20" s="1">
        <v>-2.0956328741765367</v>
      </c>
      <c r="L20" s="1">
        <v>-1.5451761073555168</v>
      </c>
      <c r="M20" s="1">
        <v>-2.5258021908214872</v>
      </c>
      <c r="N20" s="2">
        <v>-1.6728111833250057</v>
      </c>
      <c r="O20" s="2">
        <v>-3.0348146685252955</v>
      </c>
      <c r="P20" s="2">
        <v>-2.2439172189840058</v>
      </c>
      <c r="Q20" s="2">
        <v>-2.553066763877256</v>
      </c>
      <c r="R20" s="2">
        <v>-0.44230304692651612</v>
      </c>
      <c r="S20" s="2">
        <v>-1.3031306552983282</v>
      </c>
      <c r="T20" s="2">
        <v>-2.291113788491586</v>
      </c>
      <c r="U20" s="2">
        <v>0.59954771758857528</v>
      </c>
      <c r="V20" s="2">
        <v>-2.3347758615090157</v>
      </c>
      <c r="W20" s="2">
        <v>-7.3177509020609655E-2</v>
      </c>
      <c r="X20" s="2">
        <v>-0.85084861370299558</v>
      </c>
      <c r="Y20" s="2">
        <v>-0.21962209360368268</v>
      </c>
      <c r="Z20" s="2">
        <v>-0.98007322317218559</v>
      </c>
      <c r="AA20" s="2">
        <v>0.13289275246337834</v>
      </c>
      <c r="AC20">
        <f t="shared" si="0"/>
        <v>-1.1543832294569061</v>
      </c>
      <c r="AD20">
        <f t="shared" si="1"/>
        <v>-1.2333724397417523</v>
      </c>
      <c r="AE20">
        <f t="shared" si="2"/>
        <v>1.0562777255684122</v>
      </c>
      <c r="AF20">
        <f t="shared" si="3"/>
        <v>0.86769511433298763</v>
      </c>
      <c r="AG20">
        <f t="shared" si="4"/>
        <v>7.8989210284846192E-2</v>
      </c>
      <c r="AH20">
        <f t="shared" si="5"/>
        <v>6.1632847891281685E-2</v>
      </c>
      <c r="AI20" t="s">
        <v>56</v>
      </c>
      <c r="AL20" t="s">
        <v>122</v>
      </c>
      <c r="AM20">
        <v>0.24737116408814852</v>
      </c>
      <c r="AN20">
        <v>0.38038611522998345</v>
      </c>
    </row>
    <row r="21" spans="1:40" x14ac:dyDescent="0.2">
      <c r="A21" t="s">
        <v>57</v>
      </c>
      <c r="B21" s="1">
        <v>2.382826894302668</v>
      </c>
      <c r="C21" s="1">
        <v>0.77705695547084774</v>
      </c>
      <c r="D21" s="1">
        <v>3.4394481055155177</v>
      </c>
      <c r="E21" s="1">
        <v>0.26036330613343761</v>
      </c>
      <c r="F21" s="1">
        <v>1.9917612797261774</v>
      </c>
      <c r="G21" s="1">
        <v>-0.7596570257742884</v>
      </c>
      <c r="H21" s="1">
        <v>-2.5987653394852752</v>
      </c>
      <c r="I21" s="1" t="s">
        <v>67</v>
      </c>
      <c r="J21" s="1" t="s">
        <v>67</v>
      </c>
      <c r="K21" s="1">
        <v>-1.4735235276086651</v>
      </c>
      <c r="L21" s="1">
        <v>1.1310318531480927</v>
      </c>
      <c r="M21" s="1">
        <v>4.1272724623608052</v>
      </c>
      <c r="N21" s="2">
        <v>1.5615713652404088</v>
      </c>
      <c r="O21" s="2">
        <v>2.6940280575869791</v>
      </c>
      <c r="P21" s="2">
        <v>2.9196763718234289</v>
      </c>
      <c r="Q21" s="2">
        <v>0.87744163228661987</v>
      </c>
      <c r="R21" s="2">
        <v>-0.1493543488157455</v>
      </c>
      <c r="S21" s="2">
        <v>1.4488360256081876</v>
      </c>
      <c r="T21" s="2">
        <v>2.829732311211119</v>
      </c>
      <c r="U21" s="2">
        <v>0.61683250060355288</v>
      </c>
      <c r="V21" s="2">
        <v>-1.0193445830972809</v>
      </c>
      <c r="W21" s="2">
        <v>0.63578357785358686</v>
      </c>
      <c r="X21" s="2">
        <v>0.65427087165318587</v>
      </c>
      <c r="Y21" s="2">
        <v>0.27866613687162584</v>
      </c>
      <c r="Z21" s="2">
        <v>2.0872641265364189</v>
      </c>
      <c r="AA21" s="2">
        <v>-7.4090891223843158E-2</v>
      </c>
      <c r="AC21">
        <f t="shared" si="0"/>
        <v>0.92778149637893181</v>
      </c>
      <c r="AD21">
        <f t="shared" si="1"/>
        <v>1.0972366538670173</v>
      </c>
      <c r="AE21">
        <f t="shared" si="2"/>
        <v>0.88917842137665515</v>
      </c>
      <c r="AF21">
        <f t="shared" si="3"/>
        <v>0.82491574578288018</v>
      </c>
      <c r="AG21">
        <f t="shared" si="4"/>
        <v>-0.16945515748808532</v>
      </c>
      <c r="AH21">
        <f t="shared" si="5"/>
        <v>8.3590406613903781E-2</v>
      </c>
      <c r="AI21" t="s">
        <v>57</v>
      </c>
      <c r="AL21" t="s">
        <v>113</v>
      </c>
      <c r="AM21">
        <v>0.27917719864356738</v>
      </c>
      <c r="AN21">
        <v>0.36630329874287226</v>
      </c>
    </row>
    <row r="22" spans="1:40" x14ac:dyDescent="0.2">
      <c r="A22" t="s">
        <v>58</v>
      </c>
      <c r="B22" s="1">
        <v>-0.75698759859116049</v>
      </c>
      <c r="C22" s="1">
        <v>-0.27281483341748147</v>
      </c>
      <c r="D22" s="1">
        <v>0.31187777722376453</v>
      </c>
      <c r="E22" s="1">
        <v>-0.56553307749040349</v>
      </c>
      <c r="F22" s="1">
        <v>-0.26444547195285334</v>
      </c>
      <c r="G22" s="1">
        <v>-0.90414635573671642</v>
      </c>
      <c r="H22" s="1">
        <v>-1.9985097238530267</v>
      </c>
      <c r="I22" s="1">
        <v>-0.71784215858864053</v>
      </c>
      <c r="J22" s="1">
        <v>-1.6551789797760066</v>
      </c>
      <c r="K22" s="1">
        <v>-1.4483237716679065</v>
      </c>
      <c r="L22" s="1">
        <v>8.2872042564339332E-2</v>
      </c>
      <c r="M22" s="1">
        <v>-0.98230400555784647</v>
      </c>
      <c r="N22" s="2">
        <v>0.54642151080943901</v>
      </c>
      <c r="O22" s="2">
        <v>-1.1698391907337649</v>
      </c>
      <c r="P22" s="2">
        <v>-0.572547052722998</v>
      </c>
      <c r="Q22" s="2">
        <v>-1.0430664047002649</v>
      </c>
      <c r="R22" s="2">
        <v>-0.11537799204761712</v>
      </c>
      <c r="S22" s="2">
        <v>-8.4235749749421052E-2</v>
      </c>
      <c r="T22" s="2">
        <v>0.65022697041584099</v>
      </c>
      <c r="U22" s="2">
        <v>-1.888003050236335</v>
      </c>
      <c r="V22" s="2">
        <v>-1.3445443136762951</v>
      </c>
      <c r="W22" s="2">
        <v>-0.43259808442437497</v>
      </c>
      <c r="X22" s="2">
        <v>0.14783041224379551</v>
      </c>
      <c r="Y22" s="2">
        <v>-2.3831338221883649</v>
      </c>
      <c r="Z22" s="2">
        <v>-0.56659479216701802</v>
      </c>
      <c r="AA22" s="2">
        <v>-0.88626479120635193</v>
      </c>
      <c r="AC22">
        <f t="shared" si="0"/>
        <v>-0.76427801307032806</v>
      </c>
      <c r="AD22">
        <f t="shared" si="1"/>
        <v>-0.65298045359883794</v>
      </c>
      <c r="AE22">
        <f t="shared" si="2"/>
        <v>0.9257550635308085</v>
      </c>
      <c r="AF22">
        <f t="shared" si="3"/>
        <v>0.72033233204728708</v>
      </c>
      <c r="AG22">
        <f t="shared" si="4"/>
        <v>-0.11129755947149028</v>
      </c>
      <c r="AH22">
        <f t="shared" si="5"/>
        <v>0.14246709151986431</v>
      </c>
      <c r="AI22" t="s">
        <v>58</v>
      </c>
      <c r="AL22" t="s">
        <v>93</v>
      </c>
      <c r="AM22">
        <v>0.29083749503636952</v>
      </c>
      <c r="AN22">
        <v>0.35529497030695928</v>
      </c>
    </row>
    <row r="23" spans="1:40" x14ac:dyDescent="0.2">
      <c r="A23" t="s">
        <v>59</v>
      </c>
      <c r="B23" s="1">
        <v>0.93415902508315618</v>
      </c>
      <c r="C23" s="1">
        <v>0.72591216404411218</v>
      </c>
      <c r="D23" s="1">
        <v>3.4903732707497852</v>
      </c>
      <c r="E23" s="1">
        <v>1.3789892469379452</v>
      </c>
      <c r="F23" s="1">
        <v>1.3616742668317452</v>
      </c>
      <c r="G23" s="1">
        <v>3.2710290551879551</v>
      </c>
      <c r="H23" s="1">
        <v>0.69428237528533776</v>
      </c>
      <c r="I23" s="1">
        <v>0.68204327382447771</v>
      </c>
      <c r="J23" s="1">
        <v>0.66037346750589787</v>
      </c>
      <c r="K23" s="1">
        <v>1.0573338594688377</v>
      </c>
      <c r="L23" s="1">
        <v>1.5983775724815876</v>
      </c>
      <c r="M23" s="1">
        <v>2.3518354198315978</v>
      </c>
      <c r="N23" s="2">
        <v>-0.2450741855428783</v>
      </c>
      <c r="O23" s="2">
        <v>-2.087627922704427E-2</v>
      </c>
      <c r="P23" s="2">
        <v>1.3869018360750398</v>
      </c>
      <c r="Q23" s="2">
        <v>1.3393692421087247</v>
      </c>
      <c r="R23" s="2">
        <v>2.4198147201443745</v>
      </c>
      <c r="S23" s="2">
        <v>2.8862627163320944</v>
      </c>
      <c r="T23" s="2">
        <v>5.9496556734390749E-2</v>
      </c>
      <c r="U23" s="2">
        <v>0.73931195666104876</v>
      </c>
      <c r="V23" s="2">
        <v>-0.61538870866889728</v>
      </c>
      <c r="W23" s="2">
        <v>0.30053509745165663</v>
      </c>
      <c r="X23" s="2">
        <v>0.29110435063788948</v>
      </c>
      <c r="Y23" s="2">
        <v>-0.21446215410732927</v>
      </c>
      <c r="Z23" s="2">
        <v>2.7975784335174794</v>
      </c>
      <c r="AA23" s="2">
        <v>1.3029097018058109</v>
      </c>
      <c r="AC23">
        <f t="shared" si="0"/>
        <v>1.5171985831027033</v>
      </c>
      <c r="AD23">
        <f t="shared" si="1"/>
        <v>0.88767737742302588</v>
      </c>
      <c r="AE23">
        <f t="shared" si="2"/>
        <v>1.5470514807292643</v>
      </c>
      <c r="AF23">
        <f t="shared" si="3"/>
        <v>0.15097454217592718</v>
      </c>
      <c r="AG23">
        <f t="shared" si="4"/>
        <v>0.62952120567967751</v>
      </c>
      <c r="AH23">
        <f t="shared" si="5"/>
        <v>0.82109627869775426</v>
      </c>
      <c r="AI23" t="s">
        <v>59</v>
      </c>
      <c r="AL23" t="s">
        <v>91</v>
      </c>
      <c r="AM23">
        <v>0.29978945926820511</v>
      </c>
      <c r="AN23">
        <v>0.34194258337612976</v>
      </c>
    </row>
    <row r="24" spans="1:40" x14ac:dyDescent="0.2">
      <c r="A24" t="s">
        <v>60</v>
      </c>
      <c r="B24" s="1">
        <v>1.7483887717252005</v>
      </c>
      <c r="C24" s="1">
        <v>4.3639037520083708</v>
      </c>
      <c r="D24" s="1">
        <v>3.9111185229056904</v>
      </c>
      <c r="E24" s="1">
        <v>1.3024272654819904</v>
      </c>
      <c r="F24" s="1">
        <v>3.0901982088396607</v>
      </c>
      <c r="G24" s="1">
        <v>1.1099285404509605</v>
      </c>
      <c r="H24" s="1">
        <v>-1.6933121348201412</v>
      </c>
      <c r="I24" s="1">
        <v>2.685408823676239</v>
      </c>
      <c r="J24" s="1">
        <v>3.465783428907379</v>
      </c>
      <c r="K24" s="1">
        <v>-0.73219283238582511</v>
      </c>
      <c r="L24" s="1">
        <v>3.0326381139967888</v>
      </c>
      <c r="M24" s="1">
        <v>1.8400420215938889</v>
      </c>
      <c r="N24" s="2">
        <v>2.7868540547639498</v>
      </c>
      <c r="O24" s="2">
        <v>1.7961458244471897</v>
      </c>
      <c r="P24" s="2">
        <v>2.8336769644243698</v>
      </c>
      <c r="Q24" s="2">
        <v>1.1645871135749297</v>
      </c>
      <c r="R24" s="2">
        <v>1.7948773150258863</v>
      </c>
      <c r="S24" s="2">
        <v>1.5322737854748971</v>
      </c>
      <c r="T24" s="2">
        <v>3.2301788929494695</v>
      </c>
      <c r="U24" s="2">
        <v>0.40873447300073162</v>
      </c>
      <c r="V24" s="2">
        <v>0.49670152743111073</v>
      </c>
      <c r="W24" s="2">
        <v>2.5823158284036598</v>
      </c>
      <c r="X24" s="2">
        <v>1.8354185538872199</v>
      </c>
      <c r="Y24" s="2">
        <v>1.1858993924930497</v>
      </c>
      <c r="Z24" s="2">
        <v>1.8786797079522195</v>
      </c>
      <c r="AA24" s="2">
        <v>1.1981895786427696</v>
      </c>
      <c r="AC24">
        <f t="shared" si="0"/>
        <v>2.01036104019835</v>
      </c>
      <c r="AD24">
        <f t="shared" si="1"/>
        <v>1.7660380723193891</v>
      </c>
      <c r="AE24">
        <f t="shared" si="2"/>
        <v>1.1845367576363104</v>
      </c>
      <c r="AF24">
        <f t="shared" si="3"/>
        <v>0.67641682133159797</v>
      </c>
      <c r="AG24">
        <f t="shared" si="4"/>
        <v>0.2443229678789608</v>
      </c>
      <c r="AH24">
        <f t="shared" si="5"/>
        <v>0.16978560077764601</v>
      </c>
      <c r="AI24" t="s">
        <v>60</v>
      </c>
      <c r="AL24" t="s">
        <v>102</v>
      </c>
      <c r="AM24">
        <v>-0.2762045352825695</v>
      </c>
      <c r="AN24">
        <v>0.33852859645689937</v>
      </c>
    </row>
    <row r="25" spans="1:40" x14ac:dyDescent="0.2">
      <c r="A25" t="s">
        <v>61</v>
      </c>
      <c r="B25" s="1">
        <v>1.1180678064322531</v>
      </c>
      <c r="C25" s="1">
        <v>0.58379409941018112</v>
      </c>
      <c r="D25" s="1">
        <v>1.2010822559243362</v>
      </c>
      <c r="E25" s="1">
        <v>2.782909179202286</v>
      </c>
      <c r="F25" s="1">
        <v>1.5192842372411162</v>
      </c>
      <c r="G25" s="1">
        <v>2.023231917709766</v>
      </c>
      <c r="H25" s="1">
        <v>-1.9221169123165238</v>
      </c>
      <c r="I25" s="1">
        <v>-0.38676965770607397</v>
      </c>
      <c r="J25" s="1">
        <v>3.4885591384567762</v>
      </c>
      <c r="K25" s="1">
        <v>1.586621487192146</v>
      </c>
      <c r="L25" s="1">
        <v>1.728258277218246</v>
      </c>
      <c r="M25" s="1">
        <v>4.014793908006606</v>
      </c>
      <c r="N25" s="2">
        <v>1.3428748062485663</v>
      </c>
      <c r="O25" s="2">
        <v>-0.50340617747901872</v>
      </c>
      <c r="P25" s="2">
        <v>1.1785457373949162</v>
      </c>
      <c r="Q25" s="2">
        <v>0.6273318109900583</v>
      </c>
      <c r="R25" s="2">
        <v>1.0012055927661632</v>
      </c>
      <c r="S25" s="2">
        <v>-0.12165169761194583</v>
      </c>
      <c r="T25" s="2">
        <v>1.0155799681144062</v>
      </c>
      <c r="U25" s="2">
        <v>0.64005338304280923</v>
      </c>
      <c r="V25" s="2">
        <v>0.70560782034578629</v>
      </c>
      <c r="W25" s="2">
        <v>1.8243662990142762</v>
      </c>
      <c r="X25" s="2">
        <v>1.9465373543076965</v>
      </c>
      <c r="Y25" s="2">
        <v>1.2544586264293462</v>
      </c>
      <c r="Z25" s="2">
        <v>0.25940978998852426</v>
      </c>
      <c r="AA25" s="2">
        <v>-6.1563431893776721E-2</v>
      </c>
      <c r="AC25">
        <f t="shared" si="0"/>
        <v>1.4781429780642596</v>
      </c>
      <c r="AD25">
        <f t="shared" si="1"/>
        <v>0.79352499154698619</v>
      </c>
      <c r="AE25">
        <f t="shared" si="2"/>
        <v>1.60727633191366</v>
      </c>
      <c r="AF25">
        <f t="shared" si="3"/>
        <v>0.19453582584811496</v>
      </c>
      <c r="AG25">
        <f t="shared" si="4"/>
        <v>0.68461798651727335</v>
      </c>
      <c r="AH25">
        <f t="shared" si="5"/>
        <v>0.7110004070098267</v>
      </c>
      <c r="AI25" t="s">
        <v>61</v>
      </c>
      <c r="AL25" t="s">
        <v>62</v>
      </c>
      <c r="AM25">
        <v>-0.26652039634072128</v>
      </c>
      <c r="AN25">
        <v>0.32614840821828334</v>
      </c>
    </row>
    <row r="26" spans="1:40" x14ac:dyDescent="0.2">
      <c r="A26" t="s">
        <v>62</v>
      </c>
      <c r="B26" s="1">
        <v>0.20908386409294036</v>
      </c>
      <c r="C26" s="1">
        <v>1.2824263048804614</v>
      </c>
      <c r="D26" s="1">
        <v>1.3471977043076413</v>
      </c>
      <c r="E26" s="1">
        <v>-5.3124746669785644E-2</v>
      </c>
      <c r="F26" s="1">
        <v>2.5184523972096011</v>
      </c>
      <c r="G26" s="1">
        <v>0.50642599141404232</v>
      </c>
      <c r="H26" s="1">
        <v>-0.18651624046341519</v>
      </c>
      <c r="I26" s="1">
        <v>2.02881285535139</v>
      </c>
      <c r="J26" s="1">
        <v>1.8570616467254499</v>
      </c>
      <c r="K26" s="1">
        <v>1.2598978304583497</v>
      </c>
      <c r="L26" s="1">
        <v>1.369066628498389</v>
      </c>
      <c r="M26" s="1">
        <v>1.4821835139709907</v>
      </c>
      <c r="N26" s="2">
        <v>1.5160594030829397</v>
      </c>
      <c r="O26" s="2">
        <v>0.28281329766869989</v>
      </c>
      <c r="P26" s="2">
        <v>1.1142558695860798</v>
      </c>
      <c r="Q26" s="2">
        <v>2.1248459237697697</v>
      </c>
      <c r="R26" s="2">
        <v>1.238717028847593</v>
      </c>
      <c r="S26" s="2">
        <v>1.4768888716946311</v>
      </c>
      <c r="T26" s="2">
        <v>1.6602114035746096</v>
      </c>
      <c r="U26" s="2">
        <v>0.21158817874116975</v>
      </c>
      <c r="V26" s="2">
        <v>2.6230563130433397</v>
      </c>
      <c r="W26" s="2">
        <v>1.5519539284199699</v>
      </c>
      <c r="X26" s="2">
        <v>2.6434056125039498</v>
      </c>
      <c r="Y26" s="2">
        <v>3.12073325330597</v>
      </c>
      <c r="Z26" s="2">
        <v>-0.23229279222701715</v>
      </c>
      <c r="AA26" s="2">
        <v>0.29017829816378971</v>
      </c>
      <c r="AC26">
        <f t="shared" si="0"/>
        <v>1.1350806458146714</v>
      </c>
      <c r="AD26">
        <f t="shared" si="1"/>
        <v>1.4016010421553926</v>
      </c>
      <c r="AE26">
        <f t="shared" si="2"/>
        <v>0.8313221770187541</v>
      </c>
      <c r="AF26">
        <f t="shared" si="3"/>
        <v>0.47190175423612801</v>
      </c>
      <c r="AG26">
        <f t="shared" si="4"/>
        <v>-0.26652039634072128</v>
      </c>
      <c r="AH26">
        <f t="shared" si="5"/>
        <v>0.32614840821828334</v>
      </c>
      <c r="AI26" t="s">
        <v>62</v>
      </c>
      <c r="AL26" t="s">
        <v>64</v>
      </c>
      <c r="AM26">
        <v>-0.29130398101216626</v>
      </c>
      <c r="AN26">
        <v>0.31385245355099667</v>
      </c>
    </row>
    <row r="27" spans="1:40" x14ac:dyDescent="0.2">
      <c r="A27" t="s">
        <v>63</v>
      </c>
      <c r="B27" s="1">
        <v>-0.3157226769085959</v>
      </c>
      <c r="C27" s="1">
        <v>0.79071480103132408</v>
      </c>
      <c r="D27" s="1">
        <v>-0.15420087147104988</v>
      </c>
      <c r="E27" s="1">
        <v>0.12658803138813413</v>
      </c>
      <c r="F27" s="1">
        <v>1.8014388367740501</v>
      </c>
      <c r="G27" s="1">
        <v>1.074086774662796</v>
      </c>
      <c r="H27" s="1">
        <v>-0.15453746935865098</v>
      </c>
      <c r="I27" s="1">
        <v>2.6535476696564859</v>
      </c>
      <c r="J27" s="1">
        <v>1.122868737893215</v>
      </c>
      <c r="K27" s="1">
        <v>0.93552417661340193</v>
      </c>
      <c r="L27" s="1">
        <v>1.6711159037010059</v>
      </c>
      <c r="M27" s="1">
        <v>-0.98805842672498412</v>
      </c>
      <c r="N27" s="2">
        <v>2.0156162057637399</v>
      </c>
      <c r="O27" s="2">
        <v>-1.4248595598307601</v>
      </c>
      <c r="P27" s="2">
        <v>0.85517690287204995</v>
      </c>
      <c r="Q27" s="2">
        <v>1.1297675663911602</v>
      </c>
      <c r="R27" s="2">
        <v>0.3687015253243377</v>
      </c>
      <c r="S27" s="2">
        <v>-0.24732695905595931</v>
      </c>
      <c r="T27" s="2">
        <v>1.10588965864112</v>
      </c>
      <c r="U27" s="2">
        <v>-0.59084464377412593</v>
      </c>
      <c r="V27" s="2">
        <v>2.1084302396580403</v>
      </c>
      <c r="W27" s="2">
        <v>0.97096359499270002</v>
      </c>
      <c r="X27" s="2">
        <v>1.2548877654279502</v>
      </c>
      <c r="Y27" s="2">
        <v>1.2478754181784202</v>
      </c>
      <c r="Z27" s="2">
        <v>-1.0644815862663364</v>
      </c>
      <c r="AA27" s="2">
        <v>-0.61827882021264902</v>
      </c>
      <c r="AC27">
        <f t="shared" si="0"/>
        <v>0.71361379060476093</v>
      </c>
      <c r="AD27">
        <f t="shared" si="1"/>
        <v>0.50796552200783474</v>
      </c>
      <c r="AE27">
        <f t="shared" si="2"/>
        <v>1.1532044176672831</v>
      </c>
      <c r="AF27">
        <f t="shared" si="3"/>
        <v>0.63287507679700106</v>
      </c>
      <c r="AG27">
        <f t="shared" si="4"/>
        <v>0.20564826859692631</v>
      </c>
      <c r="AH27">
        <f t="shared" si="5"/>
        <v>0.19868200690510379</v>
      </c>
      <c r="AI27" t="s">
        <v>63</v>
      </c>
      <c r="AL27" t="s">
        <v>99</v>
      </c>
      <c r="AM27">
        <v>-0.21495922510247309</v>
      </c>
      <c r="AN27">
        <v>0.30944082132193418</v>
      </c>
    </row>
    <row r="28" spans="1:40" x14ac:dyDescent="0.2">
      <c r="A28" t="s">
        <v>64</v>
      </c>
      <c r="B28" s="1">
        <v>-0.87548418067815126</v>
      </c>
      <c r="C28" s="1">
        <v>-0.90990448900082121</v>
      </c>
      <c r="D28" s="1">
        <v>0.20798681214219109</v>
      </c>
      <c r="E28" s="1">
        <v>-0.38568444845197608</v>
      </c>
      <c r="F28" s="1">
        <v>-0.1925586662883691</v>
      </c>
      <c r="G28" s="1">
        <v>5.4213625379759892E-2</v>
      </c>
      <c r="H28" s="1">
        <v>-1.5133352692026898</v>
      </c>
      <c r="I28" s="1">
        <v>-1.0450391308388598</v>
      </c>
      <c r="J28" s="1">
        <v>-0.85427523972194974</v>
      </c>
      <c r="K28" s="1">
        <v>-1.3321431393943597</v>
      </c>
      <c r="L28" s="1">
        <v>-9.1489941853937662E-2</v>
      </c>
      <c r="M28" s="1">
        <v>1.8305197591839002</v>
      </c>
      <c r="N28" s="2">
        <v>0.85807127222509461</v>
      </c>
      <c r="O28" s="2">
        <v>0.49086486935101481</v>
      </c>
      <c r="P28" s="2">
        <v>-0.2929192095592153</v>
      </c>
      <c r="Q28" s="2">
        <v>1.2273389307144646</v>
      </c>
      <c r="R28" s="2">
        <v>-0.4147409461097894</v>
      </c>
      <c r="S28" s="2">
        <v>0.2222306432419176</v>
      </c>
      <c r="T28" s="2">
        <v>0.30646239147685461</v>
      </c>
      <c r="U28" s="2">
        <v>-1.6786556500979073</v>
      </c>
      <c r="V28" s="2">
        <v>1.6347587258642946</v>
      </c>
      <c r="W28" s="2">
        <v>-1.7655616780774954</v>
      </c>
      <c r="X28" s="2">
        <v>0.67280945572594464</v>
      </c>
      <c r="Y28" s="2">
        <v>0.31242641882218469</v>
      </c>
      <c r="Z28" s="2">
        <v>-1.1222352441144323</v>
      </c>
      <c r="AA28" s="2">
        <v>-2.3309876054720755</v>
      </c>
      <c r="AC28">
        <f t="shared" si="0"/>
        <v>-0.4255995257271053</v>
      </c>
      <c r="AD28">
        <f t="shared" si="1"/>
        <v>-0.13429554471493893</v>
      </c>
      <c r="AE28">
        <f t="shared" si="2"/>
        <v>0.81716313114919736</v>
      </c>
      <c r="AF28">
        <f t="shared" si="3"/>
        <v>0.48545339923952824</v>
      </c>
      <c r="AG28">
        <f t="shared" si="4"/>
        <v>-0.29130398101216626</v>
      </c>
      <c r="AH28">
        <f t="shared" si="5"/>
        <v>0.31385245355099667</v>
      </c>
      <c r="AI28" t="s">
        <v>64</v>
      </c>
      <c r="AL28" t="s">
        <v>103</v>
      </c>
      <c r="AM28">
        <v>0.22171505466771566</v>
      </c>
      <c r="AN28">
        <v>0.30491159804744977</v>
      </c>
    </row>
    <row r="29" spans="1:40" x14ac:dyDescent="0.2">
      <c r="A29" t="s">
        <v>65</v>
      </c>
      <c r="B29" s="1">
        <v>-1.0429897348827635</v>
      </c>
      <c r="C29" s="1">
        <v>-1.8941586843561433</v>
      </c>
      <c r="D29" s="1">
        <v>-7.8214650756100373E-2</v>
      </c>
      <c r="E29" s="1">
        <v>-1.1843265571938133</v>
      </c>
      <c r="F29" s="1">
        <v>-1.8838326155247533</v>
      </c>
      <c r="G29" s="1">
        <v>1.3579271934486565</v>
      </c>
      <c r="H29" s="1">
        <v>-1.3052364500366902</v>
      </c>
      <c r="I29" s="1">
        <v>-1.0767843718486003</v>
      </c>
      <c r="J29" s="1">
        <v>-0.66824914246008027</v>
      </c>
      <c r="K29" s="1">
        <v>-1.5442573721977702</v>
      </c>
      <c r="L29" s="1">
        <v>-1.4783486643410402</v>
      </c>
      <c r="M29" s="1">
        <v>-0.21404777780588824</v>
      </c>
      <c r="N29" s="2">
        <v>-2.3052900641464844</v>
      </c>
      <c r="O29" s="2">
        <v>-2.5779561849997541</v>
      </c>
      <c r="P29" s="2">
        <v>-1.2852252104934463</v>
      </c>
      <c r="Q29" s="2">
        <v>-0.30987595337992724</v>
      </c>
      <c r="R29" s="2">
        <v>-0.7097552904311506</v>
      </c>
      <c r="S29" s="2">
        <v>-0.44920727043216735</v>
      </c>
      <c r="T29" s="2">
        <v>-2.416379658423164</v>
      </c>
      <c r="U29" s="2">
        <v>-1.9478429931302141</v>
      </c>
      <c r="V29" s="2">
        <v>0.64055677318893578</v>
      </c>
      <c r="W29" s="2">
        <v>-2.1221651911487642</v>
      </c>
      <c r="X29" s="2">
        <v>-1.0974507202321333</v>
      </c>
      <c r="Y29" s="2">
        <v>-2.5885329193894191E-2</v>
      </c>
      <c r="Z29" s="2">
        <v>-0.82681732672743224</v>
      </c>
      <c r="AA29" s="2">
        <v>-1.870361437351014</v>
      </c>
      <c r="AC29">
        <f t="shared" si="0"/>
        <v>-0.91770990232958216</v>
      </c>
      <c r="AD29">
        <f t="shared" si="1"/>
        <v>-1.2359754183500438</v>
      </c>
      <c r="AE29">
        <f t="shared" si="2"/>
        <v>1.2468306419677209</v>
      </c>
      <c r="AF29">
        <f t="shared" si="3"/>
        <v>0.40614567265115598</v>
      </c>
      <c r="AG29">
        <f t="shared" si="4"/>
        <v>0.3182655160204616</v>
      </c>
      <c r="AH29">
        <f t="shared" si="5"/>
        <v>0.39131816967015381</v>
      </c>
      <c r="AI29" t="s">
        <v>65</v>
      </c>
      <c r="AL29" t="s">
        <v>101</v>
      </c>
      <c r="AM29">
        <v>0.19441562474826607</v>
      </c>
      <c r="AN29">
        <v>0.27946195036792526</v>
      </c>
    </row>
    <row r="30" spans="1:40" x14ac:dyDescent="0.2">
      <c r="A30" t="s">
        <v>66</v>
      </c>
      <c r="B30" s="1">
        <v>2.0353144763597228</v>
      </c>
      <c r="C30" s="1">
        <v>3.808260993554943</v>
      </c>
      <c r="D30" s="1">
        <v>3.215718128996623</v>
      </c>
      <c r="E30" s="1">
        <v>2.0450666114510629</v>
      </c>
      <c r="F30" s="1">
        <v>4.2498712078798526</v>
      </c>
      <c r="G30" s="1">
        <v>1.500815793287323</v>
      </c>
      <c r="H30" s="1">
        <v>0.2280743958622127</v>
      </c>
      <c r="I30" s="1">
        <v>1.537466398900442</v>
      </c>
      <c r="J30" s="1">
        <v>3.124933373875312</v>
      </c>
      <c r="K30" s="1">
        <v>1.629874061301122</v>
      </c>
      <c r="L30" s="1">
        <v>2.2540596827431418</v>
      </c>
      <c r="M30" s="1">
        <v>1.918416960462842</v>
      </c>
      <c r="N30" s="2">
        <v>2.8429558488804334</v>
      </c>
      <c r="O30" s="2">
        <v>0.46438492624875649</v>
      </c>
      <c r="P30" s="2">
        <v>3.1317484525647634</v>
      </c>
      <c r="Q30" s="2">
        <v>1.9576050743269535</v>
      </c>
      <c r="R30" s="2">
        <v>1.4805259693266961</v>
      </c>
      <c r="S30" s="2">
        <v>2.035387682011101</v>
      </c>
      <c r="T30" s="2">
        <v>2.8268369108861835</v>
      </c>
      <c r="U30" s="2">
        <v>3.1915954446209533</v>
      </c>
      <c r="V30" s="2">
        <v>2.4489588317315634</v>
      </c>
      <c r="W30" s="2">
        <v>2.9814000796221936</v>
      </c>
      <c r="X30" s="2">
        <v>3.8705707893059631</v>
      </c>
      <c r="Y30" s="2" t="s">
        <v>67</v>
      </c>
      <c r="Z30" s="2">
        <v>1.0342985717606734</v>
      </c>
      <c r="AA30" s="2">
        <v>2.4922682254000437</v>
      </c>
      <c r="AC30">
        <f t="shared" si="0"/>
        <v>2.2956560070562166</v>
      </c>
      <c r="AD30">
        <f t="shared" si="1"/>
        <v>2.3660412928220214</v>
      </c>
      <c r="AE30">
        <f t="shared" si="2"/>
        <v>0.9523836207541746</v>
      </c>
      <c r="AF30">
        <f t="shared" si="3"/>
        <v>0.86765570041601725</v>
      </c>
      <c r="AG30">
        <f t="shared" si="4"/>
        <v>-7.0385285765804856E-2</v>
      </c>
      <c r="AH30">
        <f t="shared" si="5"/>
        <v>6.1652575598795216E-2</v>
      </c>
      <c r="AI30" t="s">
        <v>66</v>
      </c>
      <c r="AL30" t="s">
        <v>114</v>
      </c>
      <c r="AM30">
        <v>-0.12657492268478296</v>
      </c>
      <c r="AN30">
        <v>0.27365795767287698</v>
      </c>
    </row>
    <row r="31" spans="1:40" x14ac:dyDescent="0.2">
      <c r="A31" t="s">
        <v>68</v>
      </c>
      <c r="B31" s="1">
        <v>0.95794781036452403</v>
      </c>
      <c r="C31" s="1">
        <v>1.7558828184521442</v>
      </c>
      <c r="D31" s="1">
        <v>1.872762567495484</v>
      </c>
      <c r="E31" s="1">
        <v>1.2804737497586742</v>
      </c>
      <c r="F31" s="1">
        <v>2.2215261261225345</v>
      </c>
      <c r="G31" s="1">
        <v>2.1018544380446542</v>
      </c>
      <c r="H31" s="1">
        <v>-0.37586539643003958</v>
      </c>
      <c r="I31" s="1">
        <v>-0.12574903188973158</v>
      </c>
      <c r="J31" s="1">
        <v>-0.48119005158186356</v>
      </c>
      <c r="K31" s="1">
        <v>0.60766918725596841</v>
      </c>
      <c r="L31" s="1">
        <v>0.93646866561203945</v>
      </c>
      <c r="M31" s="1">
        <v>1.1096789044350586</v>
      </c>
      <c r="N31" s="2">
        <v>-0.18359748604947043</v>
      </c>
      <c r="O31" s="2">
        <v>-0.22441232777378123</v>
      </c>
      <c r="P31" s="2">
        <v>1.2778474232458961</v>
      </c>
      <c r="Q31" s="2">
        <v>1.8518010637930762</v>
      </c>
      <c r="R31" s="2">
        <v>1.3605984505897688</v>
      </c>
      <c r="S31" s="2">
        <v>0.68187815529424445</v>
      </c>
      <c r="T31" s="2">
        <v>-0.33047463482709893</v>
      </c>
      <c r="U31" s="2" t="s">
        <v>67</v>
      </c>
      <c r="V31" s="2">
        <v>2.1662737644475363</v>
      </c>
      <c r="W31" s="2">
        <v>0.22999023943667307</v>
      </c>
      <c r="X31" s="2">
        <v>-0.28259071612428893</v>
      </c>
      <c r="Y31" s="2">
        <v>3.150172810966656</v>
      </c>
      <c r="Z31" s="2">
        <v>0.43167472400492002</v>
      </c>
      <c r="AA31" s="2">
        <v>1.0248861194705561</v>
      </c>
      <c r="AC31">
        <f t="shared" si="0"/>
        <v>0.98845498230328743</v>
      </c>
      <c r="AD31">
        <f t="shared" si="1"/>
        <v>0.85800366049805277</v>
      </c>
      <c r="AE31">
        <f t="shared" si="2"/>
        <v>1.0946360853775423</v>
      </c>
      <c r="AF31">
        <f t="shared" si="3"/>
        <v>0.74932308526321867</v>
      </c>
      <c r="AG31">
        <f t="shared" si="4"/>
        <v>0.1304513218052348</v>
      </c>
      <c r="AH31">
        <f t="shared" si="5"/>
        <v>0.12533088738322909</v>
      </c>
      <c r="AI31" t="s">
        <v>68</v>
      </c>
      <c r="AL31" t="s">
        <v>117</v>
      </c>
      <c r="AM31">
        <v>-0.24238798910611101</v>
      </c>
      <c r="AN31">
        <v>0.23973021021804808</v>
      </c>
    </row>
    <row r="32" spans="1:40" x14ac:dyDescent="0.2">
      <c r="A32" t="s">
        <v>69</v>
      </c>
      <c r="B32" s="1">
        <v>0.59774922584757062</v>
      </c>
      <c r="C32" s="1">
        <v>1.0682138806414996</v>
      </c>
      <c r="D32" s="1">
        <v>1.0654841691776247</v>
      </c>
      <c r="E32" s="1">
        <v>0.30829627951993471</v>
      </c>
      <c r="F32" s="1">
        <v>0.44327090832152161</v>
      </c>
      <c r="G32" s="1">
        <v>0.14254405005291562</v>
      </c>
      <c r="H32" s="1">
        <v>0.52035791110996032</v>
      </c>
      <c r="I32" s="1">
        <v>0.80192172284393337</v>
      </c>
      <c r="J32" s="1">
        <v>1.3216038802276344</v>
      </c>
      <c r="K32" s="1">
        <v>0.7123458915884433</v>
      </c>
      <c r="L32" s="1">
        <v>0.7110995329366474</v>
      </c>
      <c r="M32" s="1">
        <v>-0.42610072648479158</v>
      </c>
      <c r="N32" s="2">
        <v>0.69393413932900383</v>
      </c>
      <c r="O32" s="2">
        <v>0.89573246459772371</v>
      </c>
      <c r="P32" s="2">
        <v>0.28859415278331368</v>
      </c>
      <c r="Q32" s="2">
        <v>0.51583441832248378</v>
      </c>
      <c r="R32" s="2">
        <v>1.7080152776187951</v>
      </c>
      <c r="S32" s="2">
        <v>1.419715265587655</v>
      </c>
      <c r="T32" s="2">
        <v>1.1114564379922438</v>
      </c>
      <c r="U32" s="2">
        <v>0.29909103245924173</v>
      </c>
      <c r="V32" s="2">
        <v>0.84176577449175383</v>
      </c>
      <c r="W32" s="2">
        <v>0.69893134523375366</v>
      </c>
      <c r="X32" s="2">
        <v>0.15811456087083675</v>
      </c>
      <c r="Y32" s="2">
        <v>1.1225624330204336</v>
      </c>
      <c r="Z32" s="2">
        <v>0.79967454081125366</v>
      </c>
      <c r="AA32" s="2">
        <v>1.2441981751680138</v>
      </c>
      <c r="AC32">
        <f t="shared" si="0"/>
        <v>0.60556556048190779</v>
      </c>
      <c r="AD32">
        <f t="shared" si="1"/>
        <v>0.84268714416332191</v>
      </c>
      <c r="AE32">
        <f t="shared" si="2"/>
        <v>0.84843639638808921</v>
      </c>
      <c r="AF32">
        <f t="shared" si="3"/>
        <v>0.2018131642351732</v>
      </c>
      <c r="AG32">
        <f t="shared" si="4"/>
        <v>-0.23712158368141412</v>
      </c>
      <c r="AH32">
        <f t="shared" si="5"/>
        <v>0.69505050822683034</v>
      </c>
      <c r="AI32" t="s">
        <v>69</v>
      </c>
      <c r="AL32" t="s">
        <v>105</v>
      </c>
      <c r="AM32">
        <v>0.30349447708204591</v>
      </c>
      <c r="AN32">
        <v>0.21351329490504009</v>
      </c>
    </row>
    <row r="33" spans="1:40" x14ac:dyDescent="0.2">
      <c r="A33" t="s">
        <v>70</v>
      </c>
      <c r="B33" s="1">
        <v>0.73741239048039986</v>
      </c>
      <c r="C33" s="1">
        <v>0.81825161530067381</v>
      </c>
      <c r="D33" s="1">
        <v>0.79704494623419286</v>
      </c>
      <c r="E33" s="1">
        <v>0.91672764911193683</v>
      </c>
      <c r="F33" s="1">
        <v>3.52390070834119</v>
      </c>
      <c r="G33" s="1">
        <v>0.24753674081864285</v>
      </c>
      <c r="H33" s="1">
        <v>-0.14978262169056733</v>
      </c>
      <c r="I33" s="1">
        <v>2.6565358457872126</v>
      </c>
      <c r="J33" s="1">
        <v>0.91765759059135366</v>
      </c>
      <c r="K33" s="1">
        <v>0.45979233588177115</v>
      </c>
      <c r="L33" s="1">
        <v>1.2812339854820827</v>
      </c>
      <c r="M33" s="1">
        <v>0.20897969069461167</v>
      </c>
      <c r="N33" s="2">
        <v>1.2272579031005544</v>
      </c>
      <c r="O33" s="2">
        <v>8.1072120730173225E-2</v>
      </c>
      <c r="P33" s="2">
        <v>1.6828043522472245</v>
      </c>
      <c r="Q33" s="2">
        <v>1.0135984015943642</v>
      </c>
      <c r="R33" s="2">
        <v>1.9009922454027679</v>
      </c>
      <c r="S33" s="2">
        <v>1.3297779350712702</v>
      </c>
      <c r="T33" s="2">
        <v>1.2689774592354943</v>
      </c>
      <c r="U33" s="2">
        <v>0.83907471022367419</v>
      </c>
      <c r="V33" s="2">
        <v>2.737979521199974</v>
      </c>
      <c r="W33" s="2">
        <v>1.9101766417318744</v>
      </c>
      <c r="X33" s="2">
        <v>-0.68860882257586675</v>
      </c>
      <c r="Y33" s="2">
        <v>1.7154185272927041</v>
      </c>
      <c r="Z33" s="2">
        <v>-0.1948057855754407</v>
      </c>
      <c r="AA33" s="2">
        <v>1.3243841077307741</v>
      </c>
      <c r="AC33">
        <f t="shared" si="0"/>
        <v>1.0346075730861251</v>
      </c>
      <c r="AD33">
        <f t="shared" si="1"/>
        <v>1.153435665529253</v>
      </c>
      <c r="AE33">
        <f t="shared" si="2"/>
        <v>0.92093542678953955</v>
      </c>
      <c r="AF33">
        <f t="shared" si="3"/>
        <v>0.76286414684997039</v>
      </c>
      <c r="AG33">
        <f t="shared" si="4"/>
        <v>-0.11882809244312811</v>
      </c>
      <c r="AH33">
        <f t="shared" si="5"/>
        <v>0.1175527956317101</v>
      </c>
      <c r="AI33" t="s">
        <v>70</v>
      </c>
      <c r="AL33" t="s">
        <v>116</v>
      </c>
      <c r="AM33">
        <v>0.26461822995735951</v>
      </c>
      <c r="AN33">
        <v>0.20074771707280897</v>
      </c>
    </row>
    <row r="34" spans="1:40" x14ac:dyDescent="0.2">
      <c r="A34" t="s">
        <v>71</v>
      </c>
      <c r="B34" s="1">
        <v>-0.80368292268739216</v>
      </c>
      <c r="C34" s="1">
        <v>-1.3065254943420523</v>
      </c>
      <c r="D34" s="1">
        <v>-1.7922672621556024</v>
      </c>
      <c r="E34" s="1">
        <v>-0.97924237144317228</v>
      </c>
      <c r="F34" s="1">
        <v>-1.112646445049132</v>
      </c>
      <c r="G34" s="1">
        <v>-0.18674582382794425</v>
      </c>
      <c r="H34" s="1">
        <v>-0.43866980933309796</v>
      </c>
      <c r="I34" s="1">
        <v>-1.0011385053820381</v>
      </c>
      <c r="J34" s="1">
        <v>-0.13195581614833785</v>
      </c>
      <c r="K34" s="1">
        <v>-1.4924186260501782</v>
      </c>
      <c r="L34" s="1">
        <v>-1.036256195874218</v>
      </c>
      <c r="M34" s="1">
        <v>-1.4799283247802979</v>
      </c>
      <c r="N34" s="2">
        <v>1.7551434601498133</v>
      </c>
      <c r="O34" s="2">
        <v>-1.8622323959819971</v>
      </c>
      <c r="P34" s="2">
        <v>-0.54695223590602882</v>
      </c>
      <c r="Q34" s="2">
        <v>-1.6139342437129469</v>
      </c>
      <c r="R34" s="2">
        <v>-0.91583261741675448</v>
      </c>
      <c r="S34" s="2">
        <v>-1.8415558972696586</v>
      </c>
      <c r="T34" s="2">
        <v>-0.94539727398549389</v>
      </c>
      <c r="U34" s="2">
        <v>-1.466132085641322</v>
      </c>
      <c r="V34" s="2">
        <v>-1.3164143057268338</v>
      </c>
      <c r="W34" s="2">
        <v>-1.0109298575254748</v>
      </c>
      <c r="X34" s="2">
        <v>-0.78769662267906104</v>
      </c>
      <c r="Y34" s="2">
        <v>-0.38444722234096185</v>
      </c>
      <c r="Z34" s="2">
        <v>-1.4915340706840987</v>
      </c>
      <c r="AA34" s="2">
        <v>-0.73640042699756603</v>
      </c>
      <c r="AC34">
        <f t="shared" si="0"/>
        <v>-0.98012313308945531</v>
      </c>
      <c r="AD34">
        <f t="shared" si="1"/>
        <v>-0.94030827112274173</v>
      </c>
      <c r="AE34">
        <f t="shared" si="2"/>
        <v>0.97277977419394868</v>
      </c>
      <c r="AF34">
        <f t="shared" si="3"/>
        <v>0.89003998579771582</v>
      </c>
      <c r="AG34">
        <f t="shared" si="4"/>
        <v>-3.9814861966713522E-2</v>
      </c>
      <c r="AH34">
        <f t="shared" si="5"/>
        <v>5.0590481870576805E-2</v>
      </c>
      <c r="AI34" t="s">
        <v>71</v>
      </c>
      <c r="AL34" t="s">
        <v>63</v>
      </c>
      <c r="AM34">
        <v>0.20564826859692631</v>
      </c>
      <c r="AN34">
        <v>0.19868200690510379</v>
      </c>
    </row>
    <row r="35" spans="1:40" x14ac:dyDescent="0.2">
      <c r="A35" t="s">
        <v>72</v>
      </c>
      <c r="B35" s="1">
        <v>1.2175913753195737</v>
      </c>
      <c r="C35" s="1">
        <v>6.4882315817048131</v>
      </c>
      <c r="D35" s="1">
        <v>3.1284034757875339</v>
      </c>
      <c r="E35" s="1">
        <v>0.78369751703005375</v>
      </c>
      <c r="F35" s="1">
        <v>1.6222191298775137</v>
      </c>
      <c r="G35" s="1">
        <v>3.4558186324771638</v>
      </c>
      <c r="H35" s="1">
        <v>-0.99940716032412746</v>
      </c>
      <c r="I35" s="1">
        <v>3.0829540196521728</v>
      </c>
      <c r="J35" s="1">
        <v>2.6910685688395626</v>
      </c>
      <c r="K35" s="1">
        <v>3.0017639621239627</v>
      </c>
      <c r="L35" s="1">
        <v>3.8765543855911728</v>
      </c>
      <c r="M35" s="1">
        <v>3.8919071247051824</v>
      </c>
      <c r="N35" s="2">
        <v>2.2439065891003267</v>
      </c>
      <c r="O35" s="2">
        <v>1.5947451269924566</v>
      </c>
      <c r="P35" s="2">
        <v>2.6575304438716265</v>
      </c>
      <c r="Q35" s="2">
        <v>3.2413713173789067</v>
      </c>
      <c r="R35" s="2">
        <v>4.2476391907066615</v>
      </c>
      <c r="S35" s="2">
        <v>4.4370729274298419</v>
      </c>
      <c r="T35" s="2">
        <v>1.0798275697617266</v>
      </c>
      <c r="U35" s="2">
        <v>1.9733286743277265</v>
      </c>
      <c r="V35" s="2">
        <v>4.3827298846331164</v>
      </c>
      <c r="W35" s="2">
        <v>1.0032849339034866</v>
      </c>
      <c r="X35" s="2">
        <v>1.5493467361965665</v>
      </c>
      <c r="Y35" s="2">
        <v>5.713126565462467</v>
      </c>
      <c r="Z35" s="2">
        <v>3.2994554947002466</v>
      </c>
      <c r="AA35" s="2">
        <v>2.1353869204612264</v>
      </c>
      <c r="AC35">
        <f t="shared" si="0"/>
        <v>2.6867335510653816</v>
      </c>
      <c r="AD35">
        <f t="shared" si="1"/>
        <v>2.8256251696375982</v>
      </c>
      <c r="AE35">
        <f t="shared" si="2"/>
        <v>0.90821664428122029</v>
      </c>
      <c r="AF35">
        <f t="shared" si="3"/>
        <v>0.83658436416770265</v>
      </c>
      <c r="AG35">
        <f t="shared" si="4"/>
        <v>-0.13889161857221657</v>
      </c>
      <c r="AH35">
        <f t="shared" si="5"/>
        <v>7.7490256680017203E-2</v>
      </c>
      <c r="AI35" t="s">
        <v>72</v>
      </c>
      <c r="AL35" t="s">
        <v>107</v>
      </c>
      <c r="AM35">
        <v>0.25498946448015142</v>
      </c>
      <c r="AN35">
        <v>0.18485195663317655</v>
      </c>
    </row>
    <row r="36" spans="1:40" x14ac:dyDescent="0.2">
      <c r="A36" t="s">
        <v>73</v>
      </c>
      <c r="B36" s="1">
        <v>1.0221362284936362</v>
      </c>
      <c r="C36" s="1">
        <v>2.8379207999945963</v>
      </c>
      <c r="D36" s="1">
        <v>2.6287561316211763</v>
      </c>
      <c r="E36" s="1">
        <v>1.7001576175719562</v>
      </c>
      <c r="F36" s="1">
        <v>0.78523574798036622</v>
      </c>
      <c r="G36" s="1">
        <v>0.51608155644918929</v>
      </c>
      <c r="H36" s="1">
        <v>0.64012516778093231</v>
      </c>
      <c r="I36" s="1">
        <v>1.1675243588924622</v>
      </c>
      <c r="J36" s="1">
        <v>0.27051566425655726</v>
      </c>
      <c r="K36" s="1">
        <v>0.88890184402510219</v>
      </c>
      <c r="L36" s="1">
        <v>2.3142919005046223</v>
      </c>
      <c r="M36" s="1">
        <v>1.3495464415276324</v>
      </c>
      <c r="N36" s="2">
        <v>0.81228779611297619</v>
      </c>
      <c r="O36" s="2">
        <v>1.1881480880975483</v>
      </c>
      <c r="P36" s="2">
        <v>1.7437069712179643</v>
      </c>
      <c r="Q36" s="2">
        <v>1.5763667812154343</v>
      </c>
      <c r="R36" s="2">
        <v>2.7409026160521903</v>
      </c>
      <c r="S36" s="2">
        <v>1.9187366013074305</v>
      </c>
      <c r="T36" s="2">
        <v>1.8718483019966043</v>
      </c>
      <c r="U36" s="2">
        <v>1.3799322854631582</v>
      </c>
      <c r="V36" s="2">
        <v>0.78296010002420624</v>
      </c>
      <c r="W36" s="2">
        <v>0.96571380358500525</v>
      </c>
      <c r="X36" s="2">
        <v>0.59837854761644504</v>
      </c>
      <c r="Y36" s="2">
        <v>2.4369187482490045</v>
      </c>
      <c r="Z36" s="2">
        <v>1.0382341231667873</v>
      </c>
      <c r="AA36" s="2">
        <v>0.73154241034622125</v>
      </c>
      <c r="AC36">
        <f t="shared" si="0"/>
        <v>1.3434327882581858</v>
      </c>
      <c r="AD36">
        <f t="shared" si="1"/>
        <v>1.4132626553179273</v>
      </c>
      <c r="AE36">
        <f t="shared" si="2"/>
        <v>0.95275034656938451</v>
      </c>
      <c r="AF36">
        <f t="shared" si="3"/>
        <v>0.81961402378499448</v>
      </c>
      <c r="AG36">
        <f t="shared" si="4"/>
        <v>-6.982986705974159E-2</v>
      </c>
      <c r="AH36">
        <f t="shared" si="5"/>
        <v>8.6390619328512594E-2</v>
      </c>
      <c r="AI36" t="s">
        <v>73</v>
      </c>
      <c r="AL36" t="s">
        <v>87</v>
      </c>
      <c r="AM36">
        <v>-0.13662718773156918</v>
      </c>
      <c r="AN36">
        <v>0.18055987067538604</v>
      </c>
    </row>
    <row r="37" spans="1:40" x14ac:dyDescent="0.2">
      <c r="A37" t="s">
        <v>74</v>
      </c>
      <c r="B37" s="1">
        <v>-0.80904027170876724</v>
      </c>
      <c r="C37" s="1">
        <v>-1.1168354701569643</v>
      </c>
      <c r="D37" s="1">
        <v>-1.3702692367155413</v>
      </c>
      <c r="E37" s="1">
        <v>-1.1954277151401533</v>
      </c>
      <c r="F37" s="1">
        <v>-0.53126840978248624</v>
      </c>
      <c r="G37" s="1">
        <v>-1.3791153606822413</v>
      </c>
      <c r="H37" s="1">
        <v>-1.0626738289051754</v>
      </c>
      <c r="I37" s="1">
        <v>-0.61763689736254346</v>
      </c>
      <c r="J37" s="1">
        <v>-1.2568193830505965</v>
      </c>
      <c r="K37" s="1">
        <v>-1.2884572003638766</v>
      </c>
      <c r="L37" s="1">
        <v>-0.98635432714436644</v>
      </c>
      <c r="M37" s="1">
        <v>-0.68625434615513148</v>
      </c>
      <c r="N37" s="2">
        <v>-9.0333648805503763E-2</v>
      </c>
      <c r="O37" s="2">
        <v>-1.9283145675373397</v>
      </c>
      <c r="P37" s="2">
        <v>-1.2086101516222898</v>
      </c>
      <c r="Q37" s="2">
        <v>-0.73838056559528975</v>
      </c>
      <c r="R37" s="2">
        <v>-0.64059856340075827</v>
      </c>
      <c r="S37" s="2">
        <v>-0.81854052818456524</v>
      </c>
      <c r="T37" s="2">
        <v>-1.2471908151296798</v>
      </c>
      <c r="U37" s="2">
        <v>-1.8458763428674696</v>
      </c>
      <c r="V37" s="2">
        <v>-1.4259384095882697</v>
      </c>
      <c r="W37" s="2">
        <v>-0.87024735178533974</v>
      </c>
      <c r="X37" s="2">
        <v>-1.6637945084442198</v>
      </c>
      <c r="Y37" s="2">
        <v>-0.42390184740022574</v>
      </c>
      <c r="Z37" s="2">
        <v>-0.80388137285780981</v>
      </c>
      <c r="AA37" s="2">
        <v>-1.0209901364894798</v>
      </c>
      <c r="AC37">
        <f t="shared" si="0"/>
        <v>-1.0250127039306536</v>
      </c>
      <c r="AD37">
        <f t="shared" si="1"/>
        <v>-1.0518999149791599</v>
      </c>
      <c r="AE37">
        <f t="shared" si="2"/>
        <v>1.0188115434852982</v>
      </c>
      <c r="AF37">
        <f t="shared" si="3"/>
        <v>0.8734683519010098</v>
      </c>
      <c r="AG37">
        <f t="shared" si="4"/>
        <v>2.6887211048506325E-2</v>
      </c>
      <c r="AH37">
        <f t="shared" si="5"/>
        <v>5.8752826048826909E-2</v>
      </c>
      <c r="AI37" t="s">
        <v>74</v>
      </c>
      <c r="AL37" t="s">
        <v>82</v>
      </c>
      <c r="AM37">
        <v>-0.28196821682828593</v>
      </c>
      <c r="AN37">
        <v>0.17483328844566337</v>
      </c>
    </row>
    <row r="38" spans="1:40" x14ac:dyDescent="0.2">
      <c r="A38" t="s">
        <v>75</v>
      </c>
      <c r="B38" s="1">
        <v>4.2661615620764759E-2</v>
      </c>
      <c r="C38" s="1">
        <v>-1.3092301943978641</v>
      </c>
      <c r="D38" s="1">
        <v>-2.1943394126188442</v>
      </c>
      <c r="E38" s="1">
        <v>-0.18643251057629828</v>
      </c>
      <c r="F38" s="1">
        <v>-0.68860309492137417</v>
      </c>
      <c r="G38" s="1">
        <v>-0.5854992725630852</v>
      </c>
      <c r="H38" s="1">
        <v>-5.6125977613999449E-2</v>
      </c>
      <c r="I38" s="1">
        <v>0.82710607589659524</v>
      </c>
      <c r="J38" s="1">
        <v>-0.55806971720513976</v>
      </c>
      <c r="K38" s="1">
        <v>-0.55096613759411572</v>
      </c>
      <c r="L38" s="1">
        <v>0.19442569963168027</v>
      </c>
      <c r="M38" s="1">
        <v>-0.76812671773632879</v>
      </c>
      <c r="N38" s="2">
        <v>-0.41332826216477497</v>
      </c>
      <c r="O38" s="2">
        <v>-0.82476745252488692</v>
      </c>
      <c r="P38" s="2">
        <v>-0.61871597593651595</v>
      </c>
      <c r="Q38" s="2">
        <v>-1.293575767249834</v>
      </c>
      <c r="R38" s="2">
        <v>0.25046174789996012</v>
      </c>
      <c r="S38" s="2">
        <v>-0.63890957745884736</v>
      </c>
      <c r="T38" s="2">
        <v>0.12492442408463106</v>
      </c>
      <c r="U38" s="2">
        <v>-0.56706130233559893</v>
      </c>
      <c r="V38" s="2">
        <v>-1.2908803376256639</v>
      </c>
      <c r="W38" s="2">
        <v>-0.21441493725844196</v>
      </c>
      <c r="X38" s="2">
        <v>-1.3127121393078038</v>
      </c>
      <c r="Y38" s="2">
        <v>-0.6748238765671819</v>
      </c>
      <c r="Z38" s="2">
        <v>-0.53069401410515193</v>
      </c>
      <c r="AA38" s="2">
        <v>0.42862675449169607</v>
      </c>
      <c r="AC38">
        <f t="shared" si="0"/>
        <v>-0.4860999703398341</v>
      </c>
      <c r="AD38">
        <f t="shared" si="1"/>
        <v>-0.54113362257560094</v>
      </c>
      <c r="AE38">
        <f t="shared" si="2"/>
        <v>1.038883335958221</v>
      </c>
      <c r="AF38">
        <f t="shared" si="3"/>
        <v>0.83837658688600136</v>
      </c>
      <c r="AG38">
        <f t="shared" si="4"/>
        <v>5.5033652235766818E-2</v>
      </c>
      <c r="AH38">
        <f t="shared" si="5"/>
        <v>7.656085861439739E-2</v>
      </c>
      <c r="AI38" t="s">
        <v>75</v>
      </c>
      <c r="AL38" t="s">
        <v>106</v>
      </c>
      <c r="AM38">
        <v>0.23568862272234969</v>
      </c>
      <c r="AN38">
        <v>0.1728616667949128</v>
      </c>
    </row>
    <row r="39" spans="1:40" x14ac:dyDescent="0.2">
      <c r="A39" t="s">
        <v>76</v>
      </c>
      <c r="B39" s="1">
        <v>-0.12830852965977257</v>
      </c>
      <c r="C39" s="1">
        <v>4.1805958165035335</v>
      </c>
      <c r="D39" s="1">
        <v>-0.6016196323708165</v>
      </c>
      <c r="E39" s="1">
        <v>-0.1381267641360735</v>
      </c>
      <c r="F39" s="1">
        <v>0.71945504926525405</v>
      </c>
      <c r="G39" s="1">
        <v>1.4729702838475005</v>
      </c>
      <c r="H39" s="1">
        <v>1.7927760254738128</v>
      </c>
      <c r="I39" s="1">
        <v>-1.0687672826404975</v>
      </c>
      <c r="J39" s="1">
        <v>3.1958753927914527</v>
      </c>
      <c r="K39" s="1">
        <v>-5.8450872484508309E-2</v>
      </c>
      <c r="L39" s="1">
        <v>1.2569894001572628</v>
      </c>
      <c r="M39" s="1">
        <v>2.0867508844857428</v>
      </c>
      <c r="N39" s="2">
        <v>-0.14947819522853034</v>
      </c>
      <c r="O39" s="2">
        <v>7.6470401063096771E-2</v>
      </c>
      <c r="P39" s="2">
        <v>4.0070962920005266</v>
      </c>
      <c r="Q39" s="2">
        <v>3.8302595006257167</v>
      </c>
      <c r="R39" s="2">
        <v>-0.70873954282193186</v>
      </c>
      <c r="S39" s="2">
        <v>0.80561340570023909</v>
      </c>
      <c r="T39" s="2">
        <v>1.8353412096168065</v>
      </c>
      <c r="U39" s="2">
        <v>2.6420021713925568</v>
      </c>
      <c r="V39" s="2">
        <v>4.6465064469676962</v>
      </c>
      <c r="W39" s="2">
        <v>-3.1092984872154634</v>
      </c>
      <c r="X39" s="2">
        <v>5.1046249469092366</v>
      </c>
      <c r="Y39" s="2">
        <v>6.0879620968432766</v>
      </c>
      <c r="Z39" s="2">
        <v>-1.0775749823725134</v>
      </c>
      <c r="AA39" s="2">
        <v>3.0073348920256668</v>
      </c>
      <c r="AC39">
        <f t="shared" si="0"/>
        <v>1.0591783142694078</v>
      </c>
      <c r="AD39">
        <f t="shared" si="1"/>
        <v>1.9284371539647416</v>
      </c>
      <c r="AE39">
        <f t="shared" si="2"/>
        <v>0.54742801033377109</v>
      </c>
      <c r="AF39">
        <f t="shared" si="3"/>
        <v>0.32027150210690281</v>
      </c>
      <c r="AG39">
        <f t="shared" si="4"/>
        <v>-0.8692588396953338</v>
      </c>
      <c r="AH39">
        <f t="shared" si="5"/>
        <v>0.49448170332285868</v>
      </c>
      <c r="AI39" t="s">
        <v>76</v>
      </c>
      <c r="AL39" t="s">
        <v>60</v>
      </c>
      <c r="AM39">
        <v>0.2443229678789608</v>
      </c>
      <c r="AN39">
        <v>0.16978560077764601</v>
      </c>
    </row>
    <row r="40" spans="1:40" x14ac:dyDescent="0.2">
      <c r="A40" t="s">
        <v>77</v>
      </c>
      <c r="B40" s="1">
        <v>-0.55797450552305061</v>
      </c>
      <c r="C40" s="1">
        <v>-0.55968316859472567</v>
      </c>
      <c r="D40" s="1">
        <v>-1.0183127162935137</v>
      </c>
      <c r="E40" s="1">
        <v>-0.17388392194490165</v>
      </c>
      <c r="F40" s="1">
        <v>-0.51724995408669971</v>
      </c>
      <c r="G40" s="1">
        <v>-7.6406863815651649E-2</v>
      </c>
      <c r="H40" s="1">
        <v>-0.41544040059814746</v>
      </c>
      <c r="I40" s="1">
        <v>-0.6530555729387385</v>
      </c>
      <c r="J40" s="1">
        <v>-0.53545691526019146</v>
      </c>
      <c r="K40" s="1">
        <v>-1.1585971222225253</v>
      </c>
      <c r="L40" s="1">
        <v>-0.72801974340388542</v>
      </c>
      <c r="M40" s="1">
        <v>-1.2568410496889655</v>
      </c>
      <c r="N40" s="2">
        <v>0.87087096368296513</v>
      </c>
      <c r="O40" s="2">
        <v>-1.5308714270095707</v>
      </c>
      <c r="P40" s="2">
        <v>-0.27190607083363083</v>
      </c>
      <c r="Q40" s="2">
        <v>-0.55411657349638577</v>
      </c>
      <c r="R40" s="2">
        <v>-6.9001388989600398E-2</v>
      </c>
      <c r="S40" s="2">
        <v>-0.80153491018903633</v>
      </c>
      <c r="T40" s="2">
        <v>-1.2712478477195308</v>
      </c>
      <c r="U40" s="2">
        <v>-0.68960440039346382</v>
      </c>
      <c r="V40" s="2">
        <v>-0.52730156361162384</v>
      </c>
      <c r="W40" s="2">
        <v>-1.174019061226061</v>
      </c>
      <c r="X40" s="2">
        <v>8.7894384639349149E-2</v>
      </c>
      <c r="Y40" s="2">
        <v>-0.90904301323755488</v>
      </c>
      <c r="Z40" s="2">
        <v>-1.3415425354339807</v>
      </c>
      <c r="AA40" s="2">
        <v>-1.2702701836277308</v>
      </c>
      <c r="AC40">
        <f t="shared" si="0"/>
        <v>-0.63757682786424974</v>
      </c>
      <c r="AD40">
        <f t="shared" si="1"/>
        <v>-0.67512097338898969</v>
      </c>
      <c r="AE40">
        <f t="shared" si="2"/>
        <v>1.0263651895134902</v>
      </c>
      <c r="AF40">
        <f t="shared" si="3"/>
        <v>0.8570386899358351</v>
      </c>
      <c r="AG40">
        <f t="shared" si="4"/>
        <v>3.7544145524739884E-2</v>
      </c>
      <c r="AH40">
        <f t="shared" si="5"/>
        <v>6.6999571955026538E-2</v>
      </c>
      <c r="AI40" t="s">
        <v>77</v>
      </c>
      <c r="AL40" t="s">
        <v>98</v>
      </c>
      <c r="AM40">
        <v>-0.11811767184675692</v>
      </c>
      <c r="AN40">
        <v>0.16852770950840021</v>
      </c>
    </row>
    <row r="41" spans="1:40" x14ac:dyDescent="0.2">
      <c r="A41" t="s">
        <v>78</v>
      </c>
      <c r="B41" s="1">
        <v>-1.0576478224962469</v>
      </c>
      <c r="C41" s="1">
        <v>-0.64417339937935603</v>
      </c>
      <c r="D41" s="1">
        <v>0.26575806286242498</v>
      </c>
      <c r="E41" s="1">
        <v>-0.47753126183823502</v>
      </c>
      <c r="F41" s="1">
        <v>-1.084197406285667</v>
      </c>
      <c r="G41" s="1">
        <v>-0.63718293378923296</v>
      </c>
      <c r="H41" s="1">
        <v>-0.45220535942504697</v>
      </c>
      <c r="I41" s="1">
        <v>-0.46588390634820492</v>
      </c>
      <c r="J41" s="1">
        <v>-1.0211416690694941</v>
      </c>
      <c r="K41" s="1">
        <v>-0.950025161135719</v>
      </c>
      <c r="L41" s="1">
        <v>-0.67985625565129393</v>
      </c>
      <c r="M41" s="1">
        <v>-0.33584122027875696</v>
      </c>
      <c r="N41" s="2">
        <v>-1.1888845784835547</v>
      </c>
      <c r="O41" s="2">
        <v>-1.1954377214934349</v>
      </c>
      <c r="P41" s="2">
        <v>-1.1687527599798848</v>
      </c>
      <c r="Q41" s="2">
        <v>-0.34614092279374975</v>
      </c>
      <c r="R41" s="2">
        <v>0.49262119502938084</v>
      </c>
      <c r="S41" s="2">
        <v>-0.14345211452025919</v>
      </c>
      <c r="T41" s="2">
        <v>-0.88193950291368461</v>
      </c>
      <c r="U41" s="2">
        <v>-0.6755969835586797</v>
      </c>
      <c r="V41" s="2">
        <v>-0.49771976503033477</v>
      </c>
      <c r="W41" s="2">
        <v>-1.0223626820705047</v>
      </c>
      <c r="X41" s="2">
        <v>-0.5761917945552717</v>
      </c>
      <c r="Y41" s="2">
        <v>-0.2968214574316167</v>
      </c>
      <c r="Z41" s="2">
        <v>-0.48637803174830274</v>
      </c>
      <c r="AA41" s="2">
        <v>-0.60125789112189176</v>
      </c>
      <c r="AC41">
        <f t="shared" si="0"/>
        <v>-0.6283273610695691</v>
      </c>
      <c r="AD41">
        <f t="shared" si="1"/>
        <v>-0.61345107219084216</v>
      </c>
      <c r="AE41">
        <f t="shared" si="2"/>
        <v>0.98974152312686337</v>
      </c>
      <c r="AF41">
        <f t="shared" si="3"/>
        <v>0.92992077351340841</v>
      </c>
      <c r="AG41">
        <f t="shared" si="4"/>
        <v>-1.4876288878727077E-2</v>
      </c>
      <c r="AH41">
        <f t="shared" si="5"/>
        <v>3.1554050469311576E-2</v>
      </c>
      <c r="AI41" t="s">
        <v>78</v>
      </c>
      <c r="AL41" t="s">
        <v>97</v>
      </c>
      <c r="AM41">
        <v>0.23172989843249239</v>
      </c>
      <c r="AN41">
        <v>0.15481448032275261</v>
      </c>
    </row>
    <row r="42" spans="1:40" x14ac:dyDescent="0.2">
      <c r="A42" t="s">
        <v>79</v>
      </c>
      <c r="B42" s="1">
        <v>1.2252566015310604</v>
      </c>
      <c r="C42" s="1">
        <v>2.9565165325668104</v>
      </c>
      <c r="D42" s="1">
        <v>4.3558793867519601</v>
      </c>
      <c r="E42" s="1">
        <v>2.3560848923459203</v>
      </c>
      <c r="F42" s="1">
        <v>1.5081963339840603</v>
      </c>
      <c r="G42" s="1">
        <v>1.1189424093177003</v>
      </c>
      <c r="H42" s="1">
        <v>1.6291556246468533</v>
      </c>
      <c r="I42" s="1">
        <v>1.7056376729744933</v>
      </c>
      <c r="J42" s="1">
        <v>1.2332346667489533</v>
      </c>
      <c r="K42" s="1">
        <v>1.2939504541076332</v>
      </c>
      <c r="L42" s="1">
        <v>2.2654266918846533</v>
      </c>
      <c r="M42" s="1">
        <v>2.5383324075629132</v>
      </c>
      <c r="N42" s="2">
        <v>2.5907012271337821</v>
      </c>
      <c r="O42" s="2">
        <v>1.586321525238175</v>
      </c>
      <c r="P42" s="2">
        <v>1.5051814411063489</v>
      </c>
      <c r="Q42" s="2">
        <v>2.0578348394489718</v>
      </c>
      <c r="R42" s="2">
        <v>3.151154982470513</v>
      </c>
      <c r="S42" s="2">
        <v>3.1030364220236031</v>
      </c>
      <c r="T42" s="2">
        <v>2.5095136817724719</v>
      </c>
      <c r="U42" s="2">
        <v>1.8162442216491419</v>
      </c>
      <c r="V42" s="2">
        <v>1.512925097184469</v>
      </c>
      <c r="W42" s="2">
        <v>1.1980852658816239</v>
      </c>
      <c r="X42" s="2">
        <v>2.0454948468001919</v>
      </c>
      <c r="Y42" s="2">
        <v>1.536822024980129</v>
      </c>
      <c r="Z42" s="2">
        <v>2.440446875846372</v>
      </c>
      <c r="AA42" s="2">
        <v>1.8244670990251119</v>
      </c>
      <c r="AC42">
        <f t="shared" si="0"/>
        <v>2.0155511395352508</v>
      </c>
      <c r="AD42">
        <f t="shared" si="1"/>
        <v>2.0627306821829214</v>
      </c>
      <c r="AE42">
        <f t="shared" si="2"/>
        <v>0.96782657388486304</v>
      </c>
      <c r="AF42">
        <f t="shared" si="3"/>
        <v>0.88394629235812872</v>
      </c>
      <c r="AG42">
        <f t="shared" si="4"/>
        <v>-4.7179542647670714E-2</v>
      </c>
      <c r="AH42">
        <f t="shared" si="5"/>
        <v>5.3574121458743081E-2</v>
      </c>
      <c r="AI42" t="s">
        <v>79</v>
      </c>
      <c r="AL42" t="s">
        <v>84</v>
      </c>
      <c r="AM42">
        <v>0.21654059544778784</v>
      </c>
      <c r="AN42">
        <v>0.14936148659809836</v>
      </c>
    </row>
    <row r="43" spans="1:40" x14ac:dyDescent="0.2">
      <c r="A43" t="s">
        <v>80</v>
      </c>
      <c r="B43" s="1">
        <v>3.9848660081222897E-2</v>
      </c>
      <c r="C43" s="1">
        <v>5.0196202172426574</v>
      </c>
      <c r="D43" s="1">
        <v>-0.12367561707996011</v>
      </c>
      <c r="E43" s="1">
        <v>0.64639620820091293</v>
      </c>
      <c r="F43" s="1">
        <v>1.4688398451456568</v>
      </c>
      <c r="G43" s="1">
        <v>0.86046734341364695</v>
      </c>
      <c r="H43" s="1">
        <v>2.5141713687087766</v>
      </c>
      <c r="I43" s="1">
        <v>-0.23259279589886203</v>
      </c>
      <c r="J43" s="1">
        <v>2.9213782634584362</v>
      </c>
      <c r="K43" s="1">
        <v>0.37623933992421033</v>
      </c>
      <c r="L43" s="1">
        <v>1.3571961041116263</v>
      </c>
      <c r="M43" s="1">
        <v>0.37090538516099025</v>
      </c>
      <c r="N43" s="2">
        <v>-0.31826286590873359</v>
      </c>
      <c r="O43" s="2">
        <v>1.1005428827305275</v>
      </c>
      <c r="P43" s="2">
        <v>3.4088420185488975</v>
      </c>
      <c r="Q43" s="2">
        <v>4.5483464346471676</v>
      </c>
      <c r="R43" s="2">
        <v>0.5887618521464526</v>
      </c>
      <c r="S43" s="2">
        <v>0.58287582097355362</v>
      </c>
      <c r="T43" s="2">
        <v>2.8070047158870475</v>
      </c>
      <c r="U43" s="2">
        <v>3.6109365424999371</v>
      </c>
      <c r="V43" s="2">
        <v>3.4271654607597473</v>
      </c>
      <c r="W43" s="2">
        <v>-0.91588792618445258</v>
      </c>
      <c r="X43" s="2">
        <v>4.8952603687826768</v>
      </c>
      <c r="Y43" s="2">
        <v>4.5461429519567771</v>
      </c>
      <c r="Z43" s="2">
        <v>-0.73726834226434057</v>
      </c>
      <c r="AA43" s="2">
        <v>3.3069451346033176</v>
      </c>
      <c r="AC43">
        <f t="shared" si="0"/>
        <v>1.268232860205776</v>
      </c>
      <c r="AD43">
        <f t="shared" si="1"/>
        <v>2.2036717892270405</v>
      </c>
      <c r="AE43">
        <f t="shared" si="2"/>
        <v>0.52288336239768329</v>
      </c>
      <c r="AF43">
        <f t="shared" si="3"/>
        <v>0.201243836885028</v>
      </c>
      <c r="AG43">
        <f t="shared" si="4"/>
        <v>-0.93543892902126469</v>
      </c>
      <c r="AH43">
        <f t="shared" si="5"/>
        <v>0.69627741107343022</v>
      </c>
      <c r="AI43" t="s">
        <v>80</v>
      </c>
      <c r="AL43" t="s">
        <v>58</v>
      </c>
      <c r="AM43">
        <v>-0.11129755947149028</v>
      </c>
      <c r="AN43">
        <v>0.14246709151986431</v>
      </c>
    </row>
    <row r="44" spans="1:40" x14ac:dyDescent="0.2">
      <c r="A44" t="s">
        <v>81</v>
      </c>
      <c r="B44" s="1">
        <v>1.3073486824955696</v>
      </c>
      <c r="C44" s="1">
        <v>3.2951313837902796</v>
      </c>
      <c r="D44" s="1">
        <v>3.1470882608334696</v>
      </c>
      <c r="E44" s="1">
        <v>1.5985967562938996</v>
      </c>
      <c r="F44" s="1">
        <v>1.8955800658955595</v>
      </c>
      <c r="G44" s="1">
        <v>1.6778510239151996</v>
      </c>
      <c r="H44" s="1">
        <v>0.92393201368754319</v>
      </c>
      <c r="I44" s="1">
        <v>0.99031207316434722</v>
      </c>
      <c r="J44" s="1">
        <v>1.1774674108215002</v>
      </c>
      <c r="K44" s="1">
        <v>1.0826529998424872</v>
      </c>
      <c r="L44" s="1">
        <v>1.6794157311723852</v>
      </c>
      <c r="M44" s="1">
        <v>1.0431988371031702</v>
      </c>
      <c r="N44" s="2">
        <v>0.78902797899244237</v>
      </c>
      <c r="O44" s="2">
        <v>0.77348322987355234</v>
      </c>
      <c r="P44" s="2">
        <v>2.3678690770874824</v>
      </c>
      <c r="Q44" s="2">
        <v>5.0164927323298123</v>
      </c>
      <c r="R44" s="2">
        <v>2.5443781454153793</v>
      </c>
      <c r="S44" s="2">
        <v>2.1546627782448997</v>
      </c>
      <c r="T44" s="2">
        <v>1.6909181643160824</v>
      </c>
      <c r="U44" s="2">
        <v>5.1360438223030025</v>
      </c>
      <c r="V44" s="2">
        <v>3.6292239280524727</v>
      </c>
      <c r="W44" s="2">
        <v>0.30308787180231234</v>
      </c>
      <c r="X44" s="2">
        <v>4.0485666900133221</v>
      </c>
      <c r="Y44" s="2">
        <v>6.098721839982602</v>
      </c>
      <c r="Z44" s="2">
        <v>0.38508121782653737</v>
      </c>
      <c r="AA44" s="2">
        <v>1.8519884564890625</v>
      </c>
      <c r="AC44">
        <f t="shared" ref="AC44:AC75" si="6">AVERAGE(B44:M44)</f>
        <v>1.6515479365846175</v>
      </c>
      <c r="AD44">
        <f t="shared" ref="AD44:AD75" si="7">AVERAGE(N44:AA44)</f>
        <v>2.6278247094806404</v>
      </c>
      <c r="AE44">
        <f t="shared" ref="AE44:AE75" si="8">2^(AC44 - AD44)</f>
        <v>0.50828981476135349</v>
      </c>
      <c r="AF44">
        <f t="shared" ref="AF44:AF75" si="9">_xlfn.T.TEST(B44:M44,N44:AA44, 2, 3)</f>
        <v>9.4647854845824192E-2</v>
      </c>
      <c r="AG44">
        <f t="shared" ref="AG44:AG75" si="10">LOG(AE44,2)</f>
        <v>-0.97627677289602288</v>
      </c>
      <c r="AH44">
        <f t="shared" ref="AH44:AH75" si="11">-LOG(AF44,10)</f>
        <v>1.0238892246920364</v>
      </c>
      <c r="AI44" t="s">
        <v>81</v>
      </c>
      <c r="AL44" t="s">
        <v>110</v>
      </c>
      <c r="AM44">
        <v>-0.17121609779108291</v>
      </c>
      <c r="AN44">
        <v>0.14069784939523453</v>
      </c>
    </row>
    <row r="45" spans="1:40" x14ac:dyDescent="0.2">
      <c r="A45" t="s">
        <v>82</v>
      </c>
      <c r="B45" s="1">
        <v>0.93878081352375142</v>
      </c>
      <c r="C45" s="1" t="s">
        <v>67</v>
      </c>
      <c r="D45" s="1">
        <v>7.1782906143250216</v>
      </c>
      <c r="E45" s="1">
        <v>1.6063514066378013</v>
      </c>
      <c r="F45" s="1">
        <v>1.3175874927070397E-2</v>
      </c>
      <c r="G45" s="1">
        <v>0.27198003410985128</v>
      </c>
      <c r="H45" s="1">
        <v>3.1951798720799145</v>
      </c>
      <c r="I45" s="1">
        <v>0.94553449803985434</v>
      </c>
      <c r="J45" s="1">
        <v>1.3646392206621545</v>
      </c>
      <c r="K45" s="1">
        <v>1.6746805160912146</v>
      </c>
      <c r="L45" s="1">
        <v>2.5501860881060243</v>
      </c>
      <c r="M45" s="1">
        <v>3.8516615124329245</v>
      </c>
      <c r="N45" s="2">
        <v>2.2899685078441907</v>
      </c>
      <c r="O45" s="2">
        <v>2.3227878740687604</v>
      </c>
      <c r="P45" s="2">
        <v>1.4732464538768275</v>
      </c>
      <c r="Q45" s="2">
        <v>3.2004483651531803</v>
      </c>
      <c r="R45" s="2">
        <v>3.4634514828024927</v>
      </c>
      <c r="S45" s="2">
        <v>3.3173114591454826</v>
      </c>
      <c r="T45" s="2">
        <v>2.2646523053857806</v>
      </c>
      <c r="U45" s="2">
        <v>3.2440135555284106</v>
      </c>
      <c r="V45" s="2">
        <v>2.1916825686278205</v>
      </c>
      <c r="W45" s="2">
        <v>1.7956125234064926</v>
      </c>
      <c r="X45" s="2">
        <v>1.2739661410715106</v>
      </c>
      <c r="Y45" s="2">
        <v>1.8669699833456745</v>
      </c>
      <c r="Z45" s="2">
        <v>2.7387215388466508</v>
      </c>
      <c r="AA45" s="2">
        <v>2.5289446685925605</v>
      </c>
      <c r="AC45">
        <f t="shared" si="6"/>
        <v>2.1445873137214164</v>
      </c>
      <c r="AD45">
        <f t="shared" si="7"/>
        <v>2.4265555305497024</v>
      </c>
      <c r="AE45">
        <f t="shared" si="8"/>
        <v>0.82246818782908959</v>
      </c>
      <c r="AF45">
        <f t="shared" si="9"/>
        <v>0.66860052235199474</v>
      </c>
      <c r="AG45">
        <f t="shared" si="10"/>
        <v>-0.28196821682828593</v>
      </c>
      <c r="AH45">
        <f t="shared" si="11"/>
        <v>0.17483328844566337</v>
      </c>
      <c r="AI45" t="s">
        <v>82</v>
      </c>
      <c r="AL45" t="s">
        <v>123</v>
      </c>
      <c r="AM45">
        <v>9.4247155534297064E-2</v>
      </c>
      <c r="AN45">
        <v>0.12810126278984141</v>
      </c>
    </row>
    <row r="46" spans="1:40" x14ac:dyDescent="0.2">
      <c r="A46" t="s">
        <v>83</v>
      </c>
      <c r="B46" s="1">
        <v>-5.8915741234117414E-2</v>
      </c>
      <c r="C46" s="1">
        <v>1.3810707615284294</v>
      </c>
      <c r="D46" s="1">
        <v>0.44866721101758056</v>
      </c>
      <c r="E46" s="1">
        <v>-0.62083342397866637</v>
      </c>
      <c r="F46" s="1">
        <v>-0.25714436735425739</v>
      </c>
      <c r="G46" s="1">
        <v>-0.88615975373919631</v>
      </c>
      <c r="H46" s="1">
        <v>0.15722325612303867</v>
      </c>
      <c r="I46" s="1">
        <v>-0.71781536792444167</v>
      </c>
      <c r="J46" s="1">
        <v>-0.99599878500530936</v>
      </c>
      <c r="K46" s="1">
        <v>-0.45936098983717433</v>
      </c>
      <c r="L46" s="1">
        <v>2.4718242290891701E-2</v>
      </c>
      <c r="M46" s="1">
        <v>0.48772253527679665</v>
      </c>
      <c r="N46" s="2">
        <v>-0.10256245898942018</v>
      </c>
      <c r="O46" s="2">
        <v>-0.2290085228364801</v>
      </c>
      <c r="P46" s="2">
        <v>-0.54636047508451024</v>
      </c>
      <c r="Q46" s="2">
        <v>0.7633285913089628</v>
      </c>
      <c r="R46" s="2">
        <v>0.18329450946904785</v>
      </c>
      <c r="S46" s="2">
        <v>-0.10032574264075989</v>
      </c>
      <c r="T46" s="2">
        <v>-0.21862768742000027</v>
      </c>
      <c r="U46" s="2">
        <v>-0.29573807266411023</v>
      </c>
      <c r="V46" s="2">
        <v>-0.61135661279240028</v>
      </c>
      <c r="W46" s="2">
        <v>0.1157440401178258</v>
      </c>
      <c r="X46" s="2">
        <v>-0.11988114595350019</v>
      </c>
      <c r="Y46" s="2">
        <v>-0.98932803124985014</v>
      </c>
      <c r="Z46" s="2">
        <v>1.0508333283287097</v>
      </c>
      <c r="AA46" s="2">
        <v>0.3544459655247798</v>
      </c>
      <c r="AC46">
        <f t="shared" si="6"/>
        <v>-0.12473553523636881</v>
      </c>
      <c r="AD46">
        <f t="shared" si="7"/>
        <v>-5.3253022491550409E-2</v>
      </c>
      <c r="AE46">
        <f t="shared" si="8"/>
        <v>0.95165957048758165</v>
      </c>
      <c r="AF46">
        <f t="shared" si="9"/>
        <v>0.77195976284071322</v>
      </c>
      <c r="AG46">
        <f t="shared" si="10"/>
        <v>-7.1482512744818372E-2</v>
      </c>
      <c r="AH46">
        <f t="shared" si="11"/>
        <v>0.11240533597470437</v>
      </c>
      <c r="AI46" t="s">
        <v>83</v>
      </c>
      <c r="AL46" t="s">
        <v>68</v>
      </c>
      <c r="AM46">
        <v>0.1304513218052348</v>
      </c>
      <c r="AN46">
        <v>0.12533088738322909</v>
      </c>
    </row>
    <row r="47" spans="1:40" x14ac:dyDescent="0.2">
      <c r="A47" t="s">
        <v>84</v>
      </c>
      <c r="B47" s="1">
        <v>2.3165046036514738</v>
      </c>
      <c r="C47" s="1">
        <v>7.2751968276017838</v>
      </c>
      <c r="D47" s="1">
        <v>4.4477752688822445</v>
      </c>
      <c r="E47" s="1">
        <v>0.97886337656602374</v>
      </c>
      <c r="F47" s="1">
        <v>1.7555226085757538</v>
      </c>
      <c r="G47" s="1">
        <v>1.5961323328248538</v>
      </c>
      <c r="H47" s="1">
        <v>0.76171350184446174</v>
      </c>
      <c r="I47" s="1">
        <v>1.6963255577768428</v>
      </c>
      <c r="J47" s="1">
        <v>1.7335642324015428</v>
      </c>
      <c r="K47" s="1">
        <v>1.7726605478949826</v>
      </c>
      <c r="L47" s="1">
        <v>4.499156920746203</v>
      </c>
      <c r="M47" s="1">
        <v>1.6396649631726228</v>
      </c>
      <c r="N47" s="2">
        <v>2.7773874163892618</v>
      </c>
      <c r="O47" s="2">
        <v>2.2970323201137015</v>
      </c>
      <c r="P47" s="2">
        <v>2.6963603156284015</v>
      </c>
      <c r="Q47" s="2">
        <v>2.6320581823319915</v>
      </c>
      <c r="R47" s="2">
        <v>2.6309465717798179</v>
      </c>
      <c r="S47" s="2">
        <v>2.1089842281038735</v>
      </c>
      <c r="T47" s="2">
        <v>2.2883676220620615</v>
      </c>
      <c r="U47" s="2">
        <v>1.5886577450248816</v>
      </c>
      <c r="V47" s="2">
        <v>2.1424575334888214</v>
      </c>
      <c r="W47" s="2">
        <v>1.3691783735597416</v>
      </c>
      <c r="X47" s="2">
        <v>2.6587927247435617</v>
      </c>
      <c r="Y47" s="2">
        <v>3.3571753910506614</v>
      </c>
      <c r="Z47" s="2">
        <v>2.2558123249441318</v>
      </c>
      <c r="AA47" s="2">
        <v>1.7171484467719815</v>
      </c>
      <c r="AC47">
        <f t="shared" si="6"/>
        <v>2.5394233951615655</v>
      </c>
      <c r="AD47">
        <f t="shared" si="7"/>
        <v>2.3228827997137778</v>
      </c>
      <c r="AE47">
        <f t="shared" si="8"/>
        <v>1.1619440449835934</v>
      </c>
      <c r="AF47">
        <f t="shared" si="9"/>
        <v>0.70898739405080258</v>
      </c>
      <c r="AG47">
        <f t="shared" si="10"/>
        <v>0.21654059544778784</v>
      </c>
      <c r="AH47">
        <f t="shared" si="11"/>
        <v>0.14936148659809836</v>
      </c>
      <c r="AI47" t="s">
        <v>84</v>
      </c>
      <c r="AL47" t="s">
        <v>70</v>
      </c>
      <c r="AM47">
        <v>-0.11882809244312811</v>
      </c>
      <c r="AN47">
        <v>0.1175527956317101</v>
      </c>
    </row>
    <row r="48" spans="1:40" x14ac:dyDescent="0.2">
      <c r="A48" t="s">
        <v>85</v>
      </c>
      <c r="B48" s="1">
        <v>1.0669654290391715</v>
      </c>
      <c r="C48" s="1">
        <v>1.9186920462866317</v>
      </c>
      <c r="D48" s="1">
        <v>3.449699827363772</v>
      </c>
      <c r="E48" s="1">
        <v>0.68229975398257148</v>
      </c>
      <c r="F48" s="1">
        <v>0.35458073814862168</v>
      </c>
      <c r="G48" s="1">
        <v>0.9408008714648215</v>
      </c>
      <c r="H48" s="1">
        <v>1.800383711958381</v>
      </c>
      <c r="I48" s="1">
        <v>0.14526694335925405</v>
      </c>
      <c r="J48" s="1">
        <v>1.2980118130750011</v>
      </c>
      <c r="K48" s="1">
        <v>-5.2753433152027962E-2</v>
      </c>
      <c r="L48" s="1">
        <v>0.88172451666622209</v>
      </c>
      <c r="M48" s="1">
        <v>1.8689217232826711</v>
      </c>
      <c r="N48" s="2">
        <v>1.5996557759581904</v>
      </c>
      <c r="O48" s="2">
        <v>0.13638334812479946</v>
      </c>
      <c r="P48" s="2">
        <v>1.0684157150820786</v>
      </c>
      <c r="Q48" s="2">
        <v>2.1092311743681504</v>
      </c>
      <c r="R48" s="2">
        <v>1.6268381010396826</v>
      </c>
      <c r="S48" s="2">
        <v>0.13893541285355171</v>
      </c>
      <c r="T48" s="2">
        <v>0.98330746366953747</v>
      </c>
      <c r="U48" s="2">
        <v>2.7759251568204304</v>
      </c>
      <c r="V48" s="2">
        <v>1.2422950670347985</v>
      </c>
      <c r="W48" s="2">
        <v>1.5582847516714204</v>
      </c>
      <c r="X48" s="2">
        <v>0.78172114682771943</v>
      </c>
      <c r="Y48" s="2">
        <v>0.84776875228975146</v>
      </c>
      <c r="Z48" s="2">
        <v>0.54171682917150843</v>
      </c>
      <c r="AA48" s="2">
        <v>0.82230199934296144</v>
      </c>
      <c r="AC48">
        <f t="shared" si="6"/>
        <v>1.196216161789591</v>
      </c>
      <c r="AD48">
        <f t="shared" si="7"/>
        <v>1.1594843353038986</v>
      </c>
      <c r="AE48">
        <f t="shared" si="8"/>
        <v>1.0257874504317122</v>
      </c>
      <c r="AF48">
        <f t="shared" si="9"/>
        <v>0.91511432584367991</v>
      </c>
      <c r="AG48">
        <f t="shared" si="10"/>
        <v>3.6731826485692377E-2</v>
      </c>
      <c r="AH48">
        <f t="shared" si="11"/>
        <v>3.8524645844536992E-2</v>
      </c>
      <c r="AI48" t="s">
        <v>85</v>
      </c>
      <c r="AL48" t="s">
        <v>83</v>
      </c>
      <c r="AM48">
        <v>-7.1482512744818372E-2</v>
      </c>
      <c r="AN48">
        <v>0.11240533597470437</v>
      </c>
    </row>
    <row r="49" spans="1:40" x14ac:dyDescent="0.2">
      <c r="A49" t="s">
        <v>86</v>
      </c>
      <c r="B49" s="1">
        <v>-0.14784396362051599</v>
      </c>
      <c r="C49" s="1">
        <v>-0.79409632891419291</v>
      </c>
      <c r="D49" s="1">
        <v>-0.282455912825267</v>
      </c>
      <c r="E49" s="1">
        <v>-0.70823536504233298</v>
      </c>
      <c r="F49" s="1">
        <v>-0.87957351446435994</v>
      </c>
      <c r="G49" s="1">
        <v>-0.65634200270985099</v>
      </c>
      <c r="H49" s="1">
        <v>0.226183938622951</v>
      </c>
      <c r="I49" s="1">
        <v>-0.36240053899790298</v>
      </c>
      <c r="J49" s="1">
        <v>-0.364378570401718</v>
      </c>
      <c r="K49" s="1">
        <v>-0.41250000718779301</v>
      </c>
      <c r="L49" s="1">
        <v>-0.51087257805781894</v>
      </c>
      <c r="M49" s="1">
        <v>-1.4788079845408539</v>
      </c>
      <c r="N49" s="2">
        <v>-0.55404549100541078</v>
      </c>
      <c r="O49" s="2">
        <v>-3.7169105650558254E-3</v>
      </c>
      <c r="P49" s="2">
        <v>-1.0059521643784508</v>
      </c>
      <c r="Q49" s="2">
        <v>-0.87493774564236981</v>
      </c>
      <c r="R49" s="2">
        <v>0.40134194359409281</v>
      </c>
      <c r="S49" s="2">
        <v>-0.12521875774871022</v>
      </c>
      <c r="T49" s="2">
        <v>-0.24764432203191483</v>
      </c>
      <c r="U49" s="2">
        <v>-0.5116815267215038</v>
      </c>
      <c r="V49" s="2">
        <v>-0.65797642127549083</v>
      </c>
      <c r="W49" s="2">
        <v>-0.11564067555296345</v>
      </c>
      <c r="X49" s="2">
        <v>-0.52238795732268284</v>
      </c>
      <c r="Y49" s="2">
        <v>-0.36206243461340082</v>
      </c>
      <c r="Z49" s="2">
        <v>-3.4528819268244221E-2</v>
      </c>
      <c r="AA49" s="2">
        <v>2.172241459717017E-2</v>
      </c>
      <c r="AC49">
        <f t="shared" si="6"/>
        <v>-0.53094356901163797</v>
      </c>
      <c r="AD49">
        <f t="shared" si="7"/>
        <v>-0.32805206199535247</v>
      </c>
      <c r="AE49">
        <f t="shared" si="8"/>
        <v>0.8688075184145011</v>
      </c>
      <c r="AF49">
        <f t="shared" si="9"/>
        <v>0.21833144845682878</v>
      </c>
      <c r="AG49">
        <f t="shared" si="10"/>
        <v>-0.20289150701628553</v>
      </c>
      <c r="AH49">
        <f t="shared" si="11"/>
        <v>0.6608837040179486</v>
      </c>
      <c r="AI49" t="s">
        <v>86</v>
      </c>
      <c r="AL49" t="s">
        <v>111</v>
      </c>
      <c r="AM49">
        <v>0.13554481737444496</v>
      </c>
      <c r="AN49">
        <v>0.10775250288341237</v>
      </c>
    </row>
    <row r="50" spans="1:40" x14ac:dyDescent="0.2">
      <c r="A50" t="s">
        <v>87</v>
      </c>
      <c r="B50" s="1">
        <v>2.5919821962283209</v>
      </c>
      <c r="C50" s="1">
        <v>4.0224878416045708</v>
      </c>
      <c r="D50" s="1">
        <v>2.9887213173575309</v>
      </c>
      <c r="E50" s="1">
        <v>1.9669997410799609</v>
      </c>
      <c r="F50" s="1">
        <v>3.1584022716764513</v>
      </c>
      <c r="G50" s="1">
        <v>1.0627154449392209</v>
      </c>
      <c r="H50" s="1">
        <v>1.3185911553762015</v>
      </c>
      <c r="I50" s="1">
        <v>2.9084904971624015</v>
      </c>
      <c r="J50" s="1">
        <v>2.5242711411623615</v>
      </c>
      <c r="K50" s="1">
        <v>1.3668732393819916</v>
      </c>
      <c r="L50" s="1">
        <v>2.6350880831127417</v>
      </c>
      <c r="M50" s="1">
        <v>1.5598814863071115</v>
      </c>
      <c r="N50" s="2">
        <v>3.6595305339270494</v>
      </c>
      <c r="O50" s="2">
        <v>2.0830218206215494</v>
      </c>
      <c r="P50" s="2">
        <v>2.5463883164893493</v>
      </c>
      <c r="Q50" s="2">
        <v>2.9339194020169792</v>
      </c>
      <c r="R50" s="2">
        <v>2.4951356103586155</v>
      </c>
      <c r="S50" s="2">
        <v>2.5855159134018555</v>
      </c>
      <c r="T50" s="2">
        <v>2.0767904979251091</v>
      </c>
      <c r="U50" s="2">
        <v>2.0257821049981395</v>
      </c>
      <c r="V50" s="2">
        <v>3.3481085523703893</v>
      </c>
      <c r="W50" s="2">
        <v>1.3893329527638583</v>
      </c>
      <c r="X50" s="2">
        <v>3.0055036695989394</v>
      </c>
      <c r="Y50" s="2">
        <v>2.3565968613310093</v>
      </c>
      <c r="Z50" s="2">
        <v>2.4114122416659391</v>
      </c>
      <c r="AA50" s="2">
        <v>1.7843306353935313</v>
      </c>
      <c r="AC50">
        <f t="shared" si="6"/>
        <v>2.3420420346157385</v>
      </c>
      <c r="AD50">
        <f t="shared" si="7"/>
        <v>2.4786692223473077</v>
      </c>
      <c r="AE50">
        <f t="shared" si="8"/>
        <v>0.90964328578474407</v>
      </c>
      <c r="AF50">
        <f t="shared" si="9"/>
        <v>0.65984226390404954</v>
      </c>
      <c r="AG50">
        <f t="shared" si="10"/>
        <v>-0.13662718773156918</v>
      </c>
      <c r="AH50">
        <f t="shared" si="11"/>
        <v>0.18055987067538604</v>
      </c>
      <c r="AI50" t="s">
        <v>87</v>
      </c>
      <c r="AL50" t="s">
        <v>49</v>
      </c>
      <c r="AM50">
        <v>0.14049469215847465</v>
      </c>
      <c r="AN50">
        <v>0.10752360653586877</v>
      </c>
    </row>
    <row r="51" spans="1:40" x14ac:dyDescent="0.2">
      <c r="A51" t="s">
        <v>88</v>
      </c>
      <c r="B51" s="1">
        <v>2.6946278579805183</v>
      </c>
      <c r="C51" s="1">
        <v>1.4202761330946183</v>
      </c>
      <c r="D51" s="1">
        <v>2.6697462439422286</v>
      </c>
      <c r="E51" s="1">
        <v>1.4150128006194684</v>
      </c>
      <c r="F51" s="1">
        <v>1.0735345738267483</v>
      </c>
      <c r="G51" s="1">
        <v>0.19285079121443838</v>
      </c>
      <c r="H51" s="1">
        <v>1.6862974069159711</v>
      </c>
      <c r="I51" s="1">
        <v>0.72913690858730096</v>
      </c>
      <c r="J51" s="1">
        <v>0.87248106923043101</v>
      </c>
      <c r="K51" s="1">
        <v>-7.9292011930473028E-2</v>
      </c>
      <c r="L51" s="1">
        <v>1.022986709898881</v>
      </c>
      <c r="M51" s="1">
        <v>2.3725929573079005</v>
      </c>
      <c r="N51" s="2">
        <v>3.3196087630551645</v>
      </c>
      <c r="O51" s="2">
        <v>1.3346382785328672</v>
      </c>
      <c r="P51" s="2">
        <v>1.087135761194568</v>
      </c>
      <c r="Q51" s="2">
        <v>2.1357829410024993</v>
      </c>
      <c r="R51" s="2">
        <v>1.176154703032501</v>
      </c>
      <c r="S51" s="2">
        <v>0.85416072462304193</v>
      </c>
      <c r="T51" s="2">
        <v>0.79572790938034732</v>
      </c>
      <c r="U51" s="2">
        <v>2.1535618127152611</v>
      </c>
      <c r="V51" s="2">
        <v>1.4112233538724084</v>
      </c>
      <c r="W51" s="2">
        <v>1.0262729343907262</v>
      </c>
      <c r="X51" s="2">
        <v>0.3773381193795543</v>
      </c>
      <c r="Y51" s="2">
        <v>0.42011433904481632</v>
      </c>
      <c r="Z51" s="2">
        <v>1.1645012433771011</v>
      </c>
      <c r="AA51" s="2">
        <v>0.99443592264658132</v>
      </c>
      <c r="AC51">
        <f t="shared" si="6"/>
        <v>1.339187620057336</v>
      </c>
      <c r="AD51">
        <f t="shared" si="7"/>
        <v>1.3036183433033881</v>
      </c>
      <c r="AE51">
        <f t="shared" si="8"/>
        <v>1.0249611853237737</v>
      </c>
      <c r="AF51">
        <f t="shared" si="9"/>
        <v>0.91575519641089664</v>
      </c>
      <c r="AG51">
        <f t="shared" si="10"/>
        <v>3.5569276753947901E-2</v>
      </c>
      <c r="AH51">
        <f t="shared" si="11"/>
        <v>3.8220608272289847E-2</v>
      </c>
      <c r="AI51" t="s">
        <v>88</v>
      </c>
      <c r="AL51" t="s">
        <v>53</v>
      </c>
      <c r="AM51">
        <v>-8.9842922206078007E-2</v>
      </c>
      <c r="AN51">
        <v>9.0832617030014495E-2</v>
      </c>
    </row>
    <row r="52" spans="1:40" x14ac:dyDescent="0.2">
      <c r="A52" t="s">
        <v>89</v>
      </c>
      <c r="B52" s="1">
        <v>1.8308110420556511</v>
      </c>
      <c r="C52" s="1">
        <v>1.0494585370966012</v>
      </c>
      <c r="D52" s="1">
        <v>2.4533820057049311</v>
      </c>
      <c r="E52" s="1">
        <v>1.8106174716959811</v>
      </c>
      <c r="F52" s="1">
        <v>2.4946207206674114</v>
      </c>
      <c r="G52" s="1">
        <v>0.75689406449267138</v>
      </c>
      <c r="H52" s="1">
        <v>1.840267430059118</v>
      </c>
      <c r="I52" s="1">
        <v>1.3883014472263979</v>
      </c>
      <c r="J52" s="1">
        <v>0.81260551110395807</v>
      </c>
      <c r="K52" s="1">
        <v>1.4237931816828779</v>
      </c>
      <c r="L52" s="1">
        <v>2.4382985844639582</v>
      </c>
      <c r="M52" s="1">
        <v>2.1348462330997782</v>
      </c>
      <c r="N52" s="2">
        <v>3.3693573653623012</v>
      </c>
      <c r="O52" s="2">
        <v>1.6767819067340501</v>
      </c>
      <c r="P52" s="2">
        <v>1.5296835051917692</v>
      </c>
      <c r="Q52" s="2">
        <v>1.2611118108797224</v>
      </c>
      <c r="R52" s="2">
        <v>2.7738825411795185</v>
      </c>
      <c r="S52" s="2">
        <v>2.7449140193215382</v>
      </c>
      <c r="T52" s="2">
        <v>1.7903906288565323</v>
      </c>
      <c r="U52" s="2">
        <v>1.023787151860311</v>
      </c>
      <c r="V52" s="2">
        <v>0.82870876602532728</v>
      </c>
      <c r="W52" s="2">
        <v>1.2362999477370062</v>
      </c>
      <c r="X52" s="2">
        <v>1.0472911559236531</v>
      </c>
      <c r="Y52" s="2">
        <v>0.59816959948752135</v>
      </c>
      <c r="Z52" s="2">
        <v>2.8042516394327612</v>
      </c>
      <c r="AA52" s="2">
        <v>2.0602853467061415</v>
      </c>
      <c r="AC52">
        <f t="shared" si="6"/>
        <v>1.7028246857791116</v>
      </c>
      <c r="AD52">
        <f t="shared" si="7"/>
        <v>1.7674939560498675</v>
      </c>
      <c r="AE52">
        <f t="shared" si="8"/>
        <v>0.95616448780557894</v>
      </c>
      <c r="AF52">
        <f t="shared" si="9"/>
        <v>0.82647508523974444</v>
      </c>
      <c r="AG52">
        <f t="shared" si="10"/>
        <v>-6.4669270270755974E-2</v>
      </c>
      <c r="AH52">
        <f t="shared" si="11"/>
        <v>8.2770234053803252E-2</v>
      </c>
      <c r="AI52" t="s">
        <v>89</v>
      </c>
      <c r="AL52" t="s">
        <v>96</v>
      </c>
      <c r="AM52">
        <v>-8.9428047657142268E-2</v>
      </c>
      <c r="AN52">
        <v>8.7353104287065234E-2</v>
      </c>
    </row>
    <row r="53" spans="1:40" x14ac:dyDescent="0.2">
      <c r="A53" t="s">
        <v>90</v>
      </c>
      <c r="B53" s="1">
        <v>1.0359904290482798</v>
      </c>
      <c r="C53" s="1">
        <v>-0.48584144457401524</v>
      </c>
      <c r="D53" s="1">
        <v>-0.74961307178519421</v>
      </c>
      <c r="E53" s="1">
        <v>1.3992255579851747</v>
      </c>
      <c r="F53" s="1">
        <v>1.9940770371691547</v>
      </c>
      <c r="G53" s="1">
        <v>0.69010622209861971</v>
      </c>
      <c r="H53" s="1">
        <v>0.99485320561226298</v>
      </c>
      <c r="I53" s="1">
        <v>0.87924633104318284</v>
      </c>
      <c r="J53" s="1">
        <v>0.78666949844833289</v>
      </c>
      <c r="K53" s="1">
        <v>0.37426061009483491</v>
      </c>
      <c r="L53" s="1">
        <v>0.69688327101280301</v>
      </c>
      <c r="M53" s="1">
        <v>-0.61436414072440104</v>
      </c>
      <c r="N53" s="2">
        <v>0.65666116071205494</v>
      </c>
      <c r="O53" s="2">
        <v>-2.7705545454965064E-2</v>
      </c>
      <c r="P53" s="2">
        <v>3.6139803568166984E-2</v>
      </c>
      <c r="Q53" s="2">
        <v>0.48883095338392024</v>
      </c>
      <c r="R53" s="2">
        <v>0.82614343687459435</v>
      </c>
      <c r="S53" s="2">
        <v>0.86483883743068435</v>
      </c>
      <c r="T53" s="2">
        <v>0.47630070448219458</v>
      </c>
      <c r="U53" s="2">
        <v>0.79471674725696695</v>
      </c>
      <c r="V53" s="2">
        <v>0.27782629481599097</v>
      </c>
      <c r="W53" s="2">
        <v>1.2444186007117559</v>
      </c>
      <c r="X53" s="2">
        <v>0.50739414679679551</v>
      </c>
      <c r="Y53" s="2">
        <v>-0.26229568414081206</v>
      </c>
      <c r="Z53" s="2">
        <v>1.1791776864519758</v>
      </c>
      <c r="AA53" s="2">
        <v>1.609428022891539</v>
      </c>
      <c r="AC53">
        <f t="shared" si="6"/>
        <v>0.58345779211908633</v>
      </c>
      <c r="AD53">
        <f t="shared" si="7"/>
        <v>0.61941965469863292</v>
      </c>
      <c r="AE53">
        <f t="shared" si="8"/>
        <v>0.97538124523932979</v>
      </c>
      <c r="AF53">
        <f t="shared" si="9"/>
        <v>0.89818771551750276</v>
      </c>
      <c r="AG53">
        <f t="shared" si="10"/>
        <v>-3.5961862579546415E-2</v>
      </c>
      <c r="AH53">
        <f t="shared" si="11"/>
        <v>4.6632889063378931E-2</v>
      </c>
      <c r="AI53" t="s">
        <v>90</v>
      </c>
      <c r="AL53" t="s">
        <v>73</v>
      </c>
      <c r="AM53">
        <v>-6.982986705974159E-2</v>
      </c>
      <c r="AN53">
        <v>8.6390619328512594E-2</v>
      </c>
    </row>
    <row r="54" spans="1:40" x14ac:dyDescent="0.2">
      <c r="A54" t="s">
        <v>91</v>
      </c>
      <c r="B54" s="1">
        <v>-1.4584063821362951E-2</v>
      </c>
      <c r="C54" s="1">
        <v>0.90479332987222827</v>
      </c>
      <c r="D54" s="1">
        <v>-1.5015043777237898</v>
      </c>
      <c r="E54" s="1">
        <v>3.6780545806378045E-2</v>
      </c>
      <c r="F54" s="1">
        <v>-0.98720542172613779</v>
      </c>
      <c r="G54" s="1">
        <v>0.75810413819416222</v>
      </c>
      <c r="H54" s="1">
        <v>-0.28556274366842327</v>
      </c>
      <c r="I54" s="1">
        <v>0.25965808855459172</v>
      </c>
      <c r="J54" s="1">
        <v>0.14549955808351372</v>
      </c>
      <c r="K54" s="1">
        <v>-1.3601202342155931</v>
      </c>
      <c r="L54" s="1">
        <v>-0.51679534448321929</v>
      </c>
      <c r="M54" s="1">
        <v>2.7365748325588766</v>
      </c>
      <c r="N54" s="2">
        <v>-0.75928488366468116</v>
      </c>
      <c r="O54" s="2">
        <v>-0.38642603609632509</v>
      </c>
      <c r="P54" s="2">
        <v>-0.3167573021244281</v>
      </c>
      <c r="Q54" s="2">
        <v>-1.3647844518761709</v>
      </c>
      <c r="R54" s="2">
        <v>-0.15393731658051812</v>
      </c>
      <c r="S54" s="2">
        <v>-0.6031227012036231</v>
      </c>
      <c r="T54" s="2">
        <v>0.16015562605022493</v>
      </c>
      <c r="U54" s="2">
        <v>0.15919243137619993</v>
      </c>
      <c r="V54" s="2">
        <v>-1.0862856991594509</v>
      </c>
      <c r="W54" s="2">
        <v>-0.49164175795793008</v>
      </c>
      <c r="X54" s="2">
        <v>-0.13750717059339707</v>
      </c>
      <c r="Y54" s="2">
        <v>-1.4022816720203313</v>
      </c>
      <c r="Z54" s="2">
        <v>1.3286603690670891</v>
      </c>
      <c r="AA54" s="2">
        <v>1.0618794936982319</v>
      </c>
      <c r="AC54">
        <f t="shared" si="6"/>
        <v>1.4636525619268684E-2</v>
      </c>
      <c r="AD54">
        <f t="shared" si="7"/>
        <v>-0.2851529336489364</v>
      </c>
      <c r="AE54">
        <f t="shared" si="8"/>
        <v>1.2309647585144807</v>
      </c>
      <c r="AF54">
        <f t="shared" si="9"/>
        <v>0.45504821657928074</v>
      </c>
      <c r="AG54">
        <f t="shared" si="10"/>
        <v>0.29978945926820511</v>
      </c>
      <c r="AH54">
        <f t="shared" si="11"/>
        <v>0.34194258337612976</v>
      </c>
      <c r="AI54" t="s">
        <v>91</v>
      </c>
      <c r="AL54" t="s">
        <v>57</v>
      </c>
      <c r="AM54">
        <v>-0.16945515748808532</v>
      </c>
      <c r="AN54">
        <v>8.3590406613903781E-2</v>
      </c>
    </row>
    <row r="55" spans="1:40" x14ac:dyDescent="0.2">
      <c r="A55" t="s">
        <v>92</v>
      </c>
      <c r="B55" s="1">
        <v>0.32578454251107114</v>
      </c>
      <c r="C55" s="1">
        <v>-1.3563027318293999</v>
      </c>
      <c r="D55" s="1">
        <v>0.11619790544184017</v>
      </c>
      <c r="E55" s="1">
        <v>1.8408471761827063</v>
      </c>
      <c r="F55" s="1">
        <v>0.81553211110471624</v>
      </c>
      <c r="G55" s="1">
        <v>-7.8598865467226831E-2</v>
      </c>
      <c r="H55" s="1">
        <v>-4.0689980778805535E-2</v>
      </c>
      <c r="I55" s="1">
        <v>5.4756907051604631E-3</v>
      </c>
      <c r="J55" s="1">
        <v>5.302252488305248E-2</v>
      </c>
      <c r="K55" s="1">
        <v>-0.32681319698025946</v>
      </c>
      <c r="L55" s="1">
        <v>0.72378989680059846</v>
      </c>
      <c r="M55" s="1">
        <v>0.96595360973252853</v>
      </c>
      <c r="N55" s="2">
        <v>0.15477181063560475</v>
      </c>
      <c r="O55" s="2">
        <v>-0.21721082633278233</v>
      </c>
      <c r="P55" s="2">
        <v>-0.5263812534781922</v>
      </c>
      <c r="Q55" s="2">
        <v>-0.33815832150543224</v>
      </c>
      <c r="R55" s="2">
        <v>0.38249601008452505</v>
      </c>
      <c r="S55" s="2">
        <v>-0.12902659197986763</v>
      </c>
      <c r="T55" s="2">
        <v>-0.41155712064003236</v>
      </c>
      <c r="U55" s="2">
        <v>-0.16397847994926229</v>
      </c>
      <c r="V55" s="2">
        <v>0.53810239088110379</v>
      </c>
      <c r="W55" s="2">
        <v>-0.15448803990165239</v>
      </c>
      <c r="X55" s="2">
        <v>-0.73172049543289219</v>
      </c>
      <c r="Y55" s="2">
        <v>-1.1985069871174323</v>
      </c>
      <c r="Z55" s="2">
        <v>0.4870436835102257</v>
      </c>
      <c r="AA55" s="2">
        <v>-0.1038348345501523</v>
      </c>
      <c r="AC55">
        <f t="shared" si="6"/>
        <v>0.25368322352549849</v>
      </c>
      <c r="AD55">
        <f t="shared" si="7"/>
        <v>-0.1723177896983028</v>
      </c>
      <c r="AE55">
        <f t="shared" si="8"/>
        <v>1.3435043692818467</v>
      </c>
      <c r="AF55">
        <f t="shared" si="9"/>
        <v>0.11962784475510842</v>
      </c>
      <c r="AG55">
        <f t="shared" si="10"/>
        <v>0.42600101322380135</v>
      </c>
      <c r="AH55">
        <f t="shared" si="11"/>
        <v>0.92216772155151661</v>
      </c>
      <c r="AI55" t="s">
        <v>92</v>
      </c>
      <c r="AL55" t="s">
        <v>89</v>
      </c>
      <c r="AM55">
        <v>-6.4669270270755974E-2</v>
      </c>
      <c r="AN55">
        <v>8.2770234053803252E-2</v>
      </c>
    </row>
    <row r="56" spans="1:40" x14ac:dyDescent="0.2">
      <c r="A56" t="s">
        <v>93</v>
      </c>
      <c r="B56" s="1">
        <v>6.3081138060247399E-2</v>
      </c>
      <c r="C56" s="1">
        <v>-2.9437873085512365</v>
      </c>
      <c r="D56" s="1">
        <v>-1.2072155128577176</v>
      </c>
      <c r="E56" s="1">
        <v>1.5481088684194035</v>
      </c>
      <c r="F56" s="1">
        <v>1.2695008682403235</v>
      </c>
      <c r="G56" s="1">
        <v>-1.3768747656031697</v>
      </c>
      <c r="H56" s="1">
        <v>1.7857936860490087E-2</v>
      </c>
      <c r="I56" s="1">
        <v>-0.15533047327307084</v>
      </c>
      <c r="J56" s="1">
        <v>-0.24021747506896993</v>
      </c>
      <c r="K56" s="1">
        <v>-0.25207987962844636</v>
      </c>
      <c r="L56" s="1">
        <v>-0.25850416474053522</v>
      </c>
      <c r="M56" s="1">
        <v>-0.24498566443432787</v>
      </c>
      <c r="N56" s="2">
        <v>-0.30095533582824852</v>
      </c>
      <c r="O56" s="2">
        <v>-0.72238721553568863</v>
      </c>
      <c r="P56" s="2">
        <v>-0.90825141866692849</v>
      </c>
      <c r="Q56" s="2">
        <v>-0.95947554365487864</v>
      </c>
      <c r="R56" s="2">
        <v>-0.28737432621132347</v>
      </c>
      <c r="S56" s="2">
        <v>-0.75193091250857147</v>
      </c>
      <c r="T56" s="2">
        <v>-0.71569357524113852</v>
      </c>
      <c r="U56" s="2">
        <v>-0.44567733828184852</v>
      </c>
      <c r="V56" s="2">
        <v>-1.1301886816580686</v>
      </c>
      <c r="W56" s="2">
        <v>-3.04323731578926E-2</v>
      </c>
      <c r="X56" s="2">
        <v>-0.90573575084675861</v>
      </c>
      <c r="Y56" s="2">
        <v>-1.7321272365156886</v>
      </c>
      <c r="Z56" s="2">
        <v>0.20805858561528146</v>
      </c>
      <c r="AA56" s="2">
        <v>0.19992535397606848</v>
      </c>
      <c r="AC56">
        <f t="shared" si="6"/>
        <v>-0.31503720271475077</v>
      </c>
      <c r="AD56">
        <f t="shared" si="7"/>
        <v>-0.60587469775112024</v>
      </c>
      <c r="AE56">
        <f t="shared" si="8"/>
        <v>1.2233502353747785</v>
      </c>
      <c r="AF56">
        <f t="shared" si="9"/>
        <v>0.44127063707881942</v>
      </c>
      <c r="AG56">
        <f t="shared" si="10"/>
        <v>0.29083749503636952</v>
      </c>
      <c r="AH56">
        <f t="shared" si="11"/>
        <v>0.35529497030695928</v>
      </c>
      <c r="AI56" t="s">
        <v>93</v>
      </c>
      <c r="AL56" t="s">
        <v>119</v>
      </c>
      <c r="AM56">
        <v>9.2323711224660848E-2</v>
      </c>
      <c r="AN56">
        <v>7.8009215940564217E-2</v>
      </c>
    </row>
    <row r="57" spans="1:40" x14ac:dyDescent="0.2">
      <c r="A57" t="s">
        <v>94</v>
      </c>
      <c r="B57" s="1">
        <v>1.368729962067657</v>
      </c>
      <c r="C57" s="1">
        <v>0.66276715232032712</v>
      </c>
      <c r="D57" s="1">
        <v>0.8475432689399871</v>
      </c>
      <c r="E57" s="1">
        <v>1.6441571844152272</v>
      </c>
      <c r="F57" s="1">
        <v>2.3337793928713566</v>
      </c>
      <c r="G57" s="1">
        <v>1.4486494453229171</v>
      </c>
      <c r="H57" s="1">
        <v>1.1277753311418679</v>
      </c>
      <c r="I57" s="1">
        <v>1.5756648693404778</v>
      </c>
      <c r="J57" s="1">
        <v>0.80525386620986783</v>
      </c>
      <c r="K57" s="1">
        <v>1.7986974810689877</v>
      </c>
      <c r="L57" s="1">
        <v>2.5408332161588083</v>
      </c>
      <c r="M57" s="1">
        <v>-0.10940301429714505</v>
      </c>
      <c r="N57" s="2">
        <v>1.2583802481477651</v>
      </c>
      <c r="O57" s="2">
        <v>0.88762350026720804</v>
      </c>
      <c r="P57" s="2">
        <v>0.615096767221194</v>
      </c>
      <c r="Q57" s="2">
        <v>1.0669099647870621</v>
      </c>
      <c r="R57" s="2">
        <v>2.1290094377985018</v>
      </c>
      <c r="S57" s="2">
        <v>2.5650617848052915</v>
      </c>
      <c r="T57" s="2">
        <v>1.5020760715740591</v>
      </c>
      <c r="U57" s="2">
        <v>1.5434343104840429</v>
      </c>
      <c r="V57" s="2">
        <v>0.40937253776732407</v>
      </c>
      <c r="W57" s="2">
        <v>2.0429852061672209</v>
      </c>
      <c r="X57" s="2">
        <v>0.79577598101818003</v>
      </c>
      <c r="Y57" s="2">
        <v>0.17740419690642306</v>
      </c>
      <c r="Z57" s="2">
        <v>2.0647121963527892</v>
      </c>
      <c r="AA57" s="2">
        <v>2.1729113169431589</v>
      </c>
      <c r="AC57">
        <f t="shared" si="6"/>
        <v>1.3370373462966949</v>
      </c>
      <c r="AD57">
        <f t="shared" si="7"/>
        <v>1.3736252514457301</v>
      </c>
      <c r="AE57">
        <f t="shared" si="8"/>
        <v>0.97495808047162835</v>
      </c>
      <c r="AF57">
        <f t="shared" si="9"/>
        <v>0.90095850767290142</v>
      </c>
      <c r="AG57">
        <f t="shared" si="10"/>
        <v>-3.658790514903535E-2</v>
      </c>
      <c r="AH57">
        <f t="shared" si="11"/>
        <v>4.5295209357933339E-2</v>
      </c>
      <c r="AI57" t="s">
        <v>94</v>
      </c>
      <c r="AL57" t="s">
        <v>72</v>
      </c>
      <c r="AM57">
        <v>-0.13889161857221657</v>
      </c>
      <c r="AN57">
        <v>7.7490256680017203E-2</v>
      </c>
    </row>
    <row r="58" spans="1:40" x14ac:dyDescent="0.2">
      <c r="A58" t="s">
        <v>95</v>
      </c>
      <c r="B58" s="1">
        <v>-0.48372144748176721</v>
      </c>
      <c r="C58" s="1">
        <v>-0.42403576776016522</v>
      </c>
      <c r="D58" s="1">
        <v>-1.7263283614996812</v>
      </c>
      <c r="E58" s="1">
        <v>-0.98215542753410423</v>
      </c>
      <c r="F58" s="1">
        <v>-1.4386818581492111</v>
      </c>
      <c r="G58" s="1">
        <v>-0.70999560176178522</v>
      </c>
      <c r="H58" s="1">
        <v>-0.48934710461243047</v>
      </c>
      <c r="I58" s="1">
        <v>-0.91052342212097448</v>
      </c>
      <c r="J58" s="1">
        <v>-0.9572533015660124</v>
      </c>
      <c r="K58" s="1">
        <v>-0.32522091572971923</v>
      </c>
      <c r="L58" s="1">
        <v>0.23028574619758557</v>
      </c>
      <c r="M58" s="1">
        <v>0.56847585476900753</v>
      </c>
      <c r="N58" s="2">
        <v>-0.25142515906730145</v>
      </c>
      <c r="O58" s="2">
        <v>-6.1234351481393445E-2</v>
      </c>
      <c r="P58" s="2">
        <v>-0.81940851740408749</v>
      </c>
      <c r="Q58" s="2">
        <v>-1.9840775398785973</v>
      </c>
      <c r="R58" s="2">
        <v>-0.2852840597356251</v>
      </c>
      <c r="S58" s="2">
        <v>0.20451855439459993</v>
      </c>
      <c r="T58" s="2">
        <v>-0.72615427970236746</v>
      </c>
      <c r="U58" s="2">
        <v>-1.4997656433350874</v>
      </c>
      <c r="V58" s="2">
        <v>-1.7487941861452374</v>
      </c>
      <c r="W58" s="2">
        <v>-1.1366786032056275</v>
      </c>
      <c r="X58" s="2">
        <v>-0.18089733739602343</v>
      </c>
      <c r="Y58" s="2">
        <v>-1.1545582880512875</v>
      </c>
      <c r="Z58" s="2">
        <v>0.47968734531374863</v>
      </c>
      <c r="AA58" s="2">
        <v>9.4099491440995553E-2</v>
      </c>
      <c r="AC58">
        <f t="shared" si="6"/>
        <v>-0.63737513393743817</v>
      </c>
      <c r="AD58">
        <f t="shared" si="7"/>
        <v>-0.647855183875235</v>
      </c>
      <c r="AE58">
        <f t="shared" si="8"/>
        <v>1.0072906654948941</v>
      </c>
      <c r="AF58">
        <f t="shared" si="9"/>
        <v>0.97005491138676803</v>
      </c>
      <c r="AG58">
        <f t="shared" si="10"/>
        <v>1.0480049937796915E-2</v>
      </c>
      <c r="AH58">
        <f t="shared" si="11"/>
        <v>1.3203681159232634E-2</v>
      </c>
      <c r="AI58" t="s">
        <v>95</v>
      </c>
      <c r="AL58" t="s">
        <v>75</v>
      </c>
      <c r="AM58">
        <v>5.5033652235766818E-2</v>
      </c>
      <c r="AN58">
        <v>7.656085861439739E-2</v>
      </c>
    </row>
    <row r="59" spans="1:40" x14ac:dyDescent="0.2">
      <c r="A59" t="s">
        <v>96</v>
      </c>
      <c r="B59" s="1">
        <v>1.5014996528827422</v>
      </c>
      <c r="C59" s="1">
        <v>1.583841889032932</v>
      </c>
      <c r="D59" s="1">
        <v>2.2675382806595321</v>
      </c>
      <c r="E59" s="1">
        <v>0.20672062983403205</v>
      </c>
      <c r="F59" s="1">
        <v>1.6317037302991422</v>
      </c>
      <c r="G59" s="1">
        <v>0.21398287485607215</v>
      </c>
      <c r="H59" s="1">
        <v>1.518305806242485</v>
      </c>
      <c r="I59" s="1" t="s">
        <v>67</v>
      </c>
      <c r="J59" s="1">
        <v>2.0156763300528659</v>
      </c>
      <c r="K59" s="1">
        <v>1.0715931209273519</v>
      </c>
      <c r="L59" s="1" t="s">
        <v>67</v>
      </c>
      <c r="M59" s="1">
        <v>-0.57229467334113404</v>
      </c>
      <c r="N59" s="2">
        <v>1.5749185699834696</v>
      </c>
      <c r="O59" s="2">
        <v>0.28743999135520765</v>
      </c>
      <c r="P59" s="2">
        <v>1.1327787126834297</v>
      </c>
      <c r="Q59" s="2">
        <v>1.9466291188282696</v>
      </c>
      <c r="R59" s="2">
        <v>1.9612191168326669</v>
      </c>
      <c r="S59" s="2">
        <v>-0.28020883007403308</v>
      </c>
      <c r="T59" s="2">
        <v>0.3296928199939636</v>
      </c>
      <c r="U59" s="2">
        <v>3.0283252860449297</v>
      </c>
      <c r="V59" s="2">
        <v>2.6437156683183596</v>
      </c>
      <c r="W59" s="2">
        <v>0.29951922061332464</v>
      </c>
      <c r="X59" s="2">
        <v>0.55506159048705561</v>
      </c>
      <c r="Y59" s="2">
        <v>1.2253661693266495</v>
      </c>
      <c r="Z59" s="2">
        <v>1.3188222150366296</v>
      </c>
      <c r="AA59" s="2">
        <v>1.2427077157944997</v>
      </c>
      <c r="AC59">
        <f t="shared" si="6"/>
        <v>1.1438567641446022</v>
      </c>
      <c r="AD59">
        <f t="shared" si="7"/>
        <v>1.2332848118017445</v>
      </c>
      <c r="AE59">
        <f t="shared" si="8"/>
        <v>0.93989529417624607</v>
      </c>
      <c r="AF59">
        <f t="shared" si="9"/>
        <v>0.81779960360707493</v>
      </c>
      <c r="AG59">
        <f t="shared" si="10"/>
        <v>-8.9428047657142268E-2</v>
      </c>
      <c r="AH59">
        <f t="shared" si="11"/>
        <v>8.7353104287065234E-2</v>
      </c>
      <c r="AI59" t="s">
        <v>96</v>
      </c>
      <c r="AL59" t="s">
        <v>126</v>
      </c>
      <c r="AM59">
        <v>5.4893605642392457E-2</v>
      </c>
      <c r="AN59">
        <v>7.1063712515416697E-2</v>
      </c>
    </row>
    <row r="60" spans="1:40" x14ac:dyDescent="0.2">
      <c r="A60" t="s">
        <v>97</v>
      </c>
      <c r="B60" s="1">
        <v>2.9503795317279522</v>
      </c>
      <c r="C60" s="1">
        <v>3.8306902853216922</v>
      </c>
      <c r="D60" s="1">
        <v>7.0518701589357118</v>
      </c>
      <c r="E60" s="1">
        <v>1.6661117944280921</v>
      </c>
      <c r="F60" s="1">
        <v>-0.18901530928118482</v>
      </c>
      <c r="G60" s="1">
        <v>0.30514749190727919</v>
      </c>
      <c r="H60" s="1">
        <v>3.1164792548063298</v>
      </c>
      <c r="I60" s="1">
        <v>1.4155638103756298</v>
      </c>
      <c r="J60" s="1">
        <v>1.4631455126346502</v>
      </c>
      <c r="K60" s="1">
        <v>1.6049355193873298</v>
      </c>
      <c r="L60" s="1">
        <v>2.7320732692341099</v>
      </c>
      <c r="M60" s="1">
        <v>3.7177087298546496</v>
      </c>
      <c r="N60" s="2">
        <v>2.3885599832386921</v>
      </c>
      <c r="O60" s="2">
        <v>2.9546417749615319</v>
      </c>
      <c r="P60" s="2">
        <v>2.260585530920352</v>
      </c>
      <c r="Q60" s="2">
        <v>2.6504679204670119</v>
      </c>
      <c r="R60" s="2">
        <v>3.9303888808952667</v>
      </c>
      <c r="S60" s="2">
        <v>2.7433934476360564</v>
      </c>
      <c r="T60" s="2">
        <v>1.8401685270503458</v>
      </c>
      <c r="U60" s="2">
        <v>2.7959788147778819</v>
      </c>
      <c r="V60" s="2">
        <v>1.6251949288996559</v>
      </c>
      <c r="W60" s="2">
        <v>1.5121951758064629</v>
      </c>
      <c r="X60" s="2">
        <v>1.281593494036309</v>
      </c>
      <c r="Y60" s="2">
        <v>1.0538553274519491</v>
      </c>
      <c r="Z60" s="2">
        <v>2.1292831633820422</v>
      </c>
      <c r="AA60" s="2">
        <v>2.1987461766425018</v>
      </c>
      <c r="AC60">
        <f t="shared" si="6"/>
        <v>2.4720908374443535</v>
      </c>
      <c r="AD60">
        <f t="shared" si="7"/>
        <v>2.2403609390118611</v>
      </c>
      <c r="AE60">
        <f t="shared" si="8"/>
        <v>1.1742421088609709</v>
      </c>
      <c r="AF60">
        <f t="shared" si="9"/>
        <v>0.70014101475933965</v>
      </c>
      <c r="AG60">
        <f t="shared" si="10"/>
        <v>0.23172989843249239</v>
      </c>
      <c r="AH60">
        <f t="shared" si="11"/>
        <v>0.15481448032275261</v>
      </c>
      <c r="AI60" t="s">
        <v>97</v>
      </c>
      <c r="AL60" t="s">
        <v>77</v>
      </c>
      <c r="AM60">
        <v>3.7544145524739884E-2</v>
      </c>
      <c r="AN60">
        <v>6.6999571955026538E-2</v>
      </c>
    </row>
    <row r="61" spans="1:40" x14ac:dyDescent="0.2">
      <c r="A61" t="s">
        <v>98</v>
      </c>
      <c r="B61" s="1">
        <v>0.84510741477141416</v>
      </c>
      <c r="C61" s="1">
        <v>1.210758320991387</v>
      </c>
      <c r="D61" s="1">
        <v>-1.604986173137569</v>
      </c>
      <c r="E61" s="1">
        <v>-0.67169130257140874</v>
      </c>
      <c r="F61" s="1">
        <v>-0.98969401098136889</v>
      </c>
      <c r="G61" s="1">
        <v>1.0358106861337113</v>
      </c>
      <c r="H61" s="1">
        <v>0.54428567193365462</v>
      </c>
      <c r="I61" s="1">
        <v>0.20174961646268222</v>
      </c>
      <c r="J61" s="1">
        <v>0.37485343446388564</v>
      </c>
      <c r="K61" s="1">
        <v>0.23228544542907015</v>
      </c>
      <c r="L61" s="1">
        <v>-0.56508590795418234</v>
      </c>
      <c r="M61" s="1">
        <v>0.70009624971900375</v>
      </c>
      <c r="N61" s="2">
        <v>0.25731289768616289</v>
      </c>
      <c r="O61" s="2">
        <v>-0.13976770061602711</v>
      </c>
      <c r="P61" s="2">
        <v>-7.0819895792652132E-2</v>
      </c>
      <c r="Q61" s="2">
        <v>-0.37202554531613596</v>
      </c>
      <c r="R61" s="2">
        <v>0.42914936517012864</v>
      </c>
      <c r="S61" s="2">
        <v>1.0689534192251697</v>
      </c>
      <c r="T61" s="2">
        <v>0.19715899093795791</v>
      </c>
      <c r="U61" s="2">
        <v>0.58626100557936289</v>
      </c>
      <c r="V61" s="2">
        <v>-0.60376994777264814</v>
      </c>
      <c r="W61" s="2">
        <v>0.48278706092716789</v>
      </c>
      <c r="X61" s="2">
        <v>0.34246633704056989</v>
      </c>
      <c r="Y61" s="2">
        <v>-6.1014504583300155E-2</v>
      </c>
      <c r="Z61" s="2">
        <v>0.70894893405326287</v>
      </c>
      <c r="AA61" s="2">
        <v>0.36041134211923581</v>
      </c>
      <c r="AC61">
        <f t="shared" si="6"/>
        <v>0.10945745377168999</v>
      </c>
      <c r="AD61">
        <f t="shared" si="7"/>
        <v>0.22757512561844678</v>
      </c>
      <c r="AE61">
        <f t="shared" si="8"/>
        <v>0.92138903104286418</v>
      </c>
      <c r="AF61">
        <f t="shared" si="9"/>
        <v>0.67837883617269301</v>
      </c>
      <c r="AG61">
        <f t="shared" si="10"/>
        <v>-0.11811767184675692</v>
      </c>
      <c r="AH61">
        <f t="shared" si="11"/>
        <v>0.16852770950840021</v>
      </c>
      <c r="AI61" t="s">
        <v>98</v>
      </c>
      <c r="AL61" t="s">
        <v>112</v>
      </c>
      <c r="AM61">
        <v>-5.4726803707450929E-2</v>
      </c>
      <c r="AN61">
        <v>6.3886114476396333E-2</v>
      </c>
    </row>
    <row r="62" spans="1:40" x14ac:dyDescent="0.2">
      <c r="A62" t="s">
        <v>99</v>
      </c>
      <c r="B62" s="1">
        <v>2.1759160365863859</v>
      </c>
      <c r="C62" s="1">
        <v>3.3496136990684557</v>
      </c>
      <c r="D62" s="1">
        <v>3.2837147233457258</v>
      </c>
      <c r="E62" s="1">
        <v>1.5270779909574059</v>
      </c>
      <c r="F62" s="1">
        <v>1.8396824117635058</v>
      </c>
      <c r="G62" s="1">
        <v>1.0927397718897258</v>
      </c>
      <c r="H62" s="1">
        <v>1.2844894887761862</v>
      </c>
      <c r="I62" s="1">
        <v>1.8558241992065962</v>
      </c>
      <c r="J62" s="1">
        <v>1.297300252767696</v>
      </c>
      <c r="K62" s="1">
        <v>1.4678939475337962</v>
      </c>
      <c r="L62" s="1">
        <v>2.1456108201211159</v>
      </c>
      <c r="M62" s="1">
        <v>1.4010860372372762</v>
      </c>
      <c r="N62" s="2">
        <v>3.2977963726335133</v>
      </c>
      <c r="O62" s="2">
        <v>1.4004064978385435</v>
      </c>
      <c r="P62" s="2">
        <v>3.2286455269454635</v>
      </c>
      <c r="Q62" s="2">
        <v>2.8294793064641235</v>
      </c>
      <c r="R62" s="2">
        <v>3.2057428617245503</v>
      </c>
      <c r="S62" s="2">
        <v>2.2415768086604704</v>
      </c>
      <c r="T62" s="2">
        <v>1.7293734907172535</v>
      </c>
      <c r="U62" s="2">
        <v>1.9009361973565535</v>
      </c>
      <c r="V62" s="2">
        <v>2.2264362803917335</v>
      </c>
      <c r="W62" s="2">
        <v>0.88868305863859953</v>
      </c>
      <c r="X62" s="2">
        <v>2.1855671119151436</v>
      </c>
      <c r="Y62" s="2">
        <v>2.0523154753911634</v>
      </c>
      <c r="Z62" s="2">
        <v>1.5551276679595134</v>
      </c>
      <c r="AA62" s="2">
        <v>0.7751167705941725</v>
      </c>
      <c r="AC62">
        <f t="shared" si="6"/>
        <v>1.8934124482711558</v>
      </c>
      <c r="AD62">
        <f t="shared" si="7"/>
        <v>2.1083716733736289</v>
      </c>
      <c r="AE62">
        <f t="shared" si="8"/>
        <v>0.86157050993976314</v>
      </c>
      <c r="AF62">
        <f t="shared" si="9"/>
        <v>0.49040984341760019</v>
      </c>
      <c r="AG62">
        <f t="shared" si="10"/>
        <v>-0.21495922510247309</v>
      </c>
      <c r="AH62">
        <f t="shared" si="11"/>
        <v>0.30944082132193418</v>
      </c>
      <c r="AI62" t="s">
        <v>99</v>
      </c>
      <c r="AL62" t="s">
        <v>66</v>
      </c>
      <c r="AM62">
        <v>-7.0385285765804856E-2</v>
      </c>
      <c r="AN62">
        <v>6.1652575598795216E-2</v>
      </c>
    </row>
    <row r="63" spans="1:40" x14ac:dyDescent="0.2">
      <c r="A63" t="s">
        <v>100</v>
      </c>
      <c r="B63" s="1">
        <v>1.9522482460856596</v>
      </c>
      <c r="C63" s="1">
        <v>2.6867143369646493</v>
      </c>
      <c r="D63" s="1">
        <v>3.20891009415939</v>
      </c>
      <c r="E63" s="1">
        <v>2.0604815814353801</v>
      </c>
      <c r="F63" s="1">
        <v>2.1747682363810599</v>
      </c>
      <c r="G63" s="1">
        <v>0.84976716718132961</v>
      </c>
      <c r="H63" s="1">
        <v>1.1697927789752562</v>
      </c>
      <c r="I63" s="1">
        <v>1.6281187757776161</v>
      </c>
      <c r="J63" s="1">
        <v>1.3248208613231063</v>
      </c>
      <c r="K63" s="1">
        <v>1.5371479413309661</v>
      </c>
      <c r="L63" s="1">
        <v>1.9038875715163563</v>
      </c>
      <c r="M63" s="1">
        <v>2.5564794901458558</v>
      </c>
      <c r="N63" s="2">
        <v>1.9351364329531204</v>
      </c>
      <c r="O63" s="2">
        <v>1.0221091601525845</v>
      </c>
      <c r="P63" s="2">
        <v>1.2172709114505076</v>
      </c>
      <c r="Q63" s="2">
        <v>2.8034893989278604</v>
      </c>
      <c r="R63" s="2">
        <v>3.0171280743537068</v>
      </c>
      <c r="S63" s="2">
        <v>2.9752655694674566</v>
      </c>
      <c r="T63" s="2">
        <v>1.1465573769864346</v>
      </c>
      <c r="U63" s="2">
        <v>1.9259653798702505</v>
      </c>
      <c r="V63" s="2">
        <v>2.6321346085652704</v>
      </c>
      <c r="W63" s="2">
        <v>0.94212712393262699</v>
      </c>
      <c r="X63" s="2">
        <v>1.0718213847857836</v>
      </c>
      <c r="Y63" s="2">
        <v>2.7318595779666306</v>
      </c>
      <c r="Z63" s="2">
        <v>2.1555865046421303</v>
      </c>
      <c r="AA63" s="2">
        <v>1.9801681107881404</v>
      </c>
      <c r="AC63">
        <f t="shared" si="6"/>
        <v>1.9210947567730521</v>
      </c>
      <c r="AD63">
        <f t="shared" si="7"/>
        <v>1.9683299724887502</v>
      </c>
      <c r="AE63">
        <f t="shared" si="8"/>
        <v>0.96778922653595556</v>
      </c>
      <c r="AF63">
        <f t="shared" si="9"/>
        <v>0.8698528425591795</v>
      </c>
      <c r="AG63">
        <f t="shared" si="10"/>
        <v>-4.7235215715698095E-2</v>
      </c>
      <c r="AH63">
        <f t="shared" si="11"/>
        <v>6.055421297928542E-2</v>
      </c>
      <c r="AI63" t="s">
        <v>100</v>
      </c>
      <c r="AL63" t="s">
        <v>56</v>
      </c>
      <c r="AM63">
        <v>7.8989210284846192E-2</v>
      </c>
      <c r="AN63">
        <v>6.1632847891281685E-2</v>
      </c>
    </row>
    <row r="64" spans="1:40" x14ac:dyDescent="0.2">
      <c r="A64" t="s">
        <v>101</v>
      </c>
      <c r="B64" s="1">
        <v>0.29741774245330371</v>
      </c>
      <c r="C64" s="1">
        <v>0.18440340160470572</v>
      </c>
      <c r="D64" s="1">
        <v>-2.573653641232116</v>
      </c>
      <c r="E64" s="1">
        <v>-0.3441664201081453</v>
      </c>
      <c r="F64" s="1">
        <v>-1.1066696475936362</v>
      </c>
      <c r="G64" s="1">
        <v>0.83282061355936365</v>
      </c>
      <c r="H64" s="1">
        <v>-0.17092578134158187</v>
      </c>
      <c r="I64" s="1">
        <v>-0.70959120054547897</v>
      </c>
      <c r="J64" s="1">
        <v>0.31488277455920161</v>
      </c>
      <c r="K64" s="1">
        <v>-0.27161705904537886</v>
      </c>
      <c r="L64" s="1">
        <v>-0.61520996529717298</v>
      </c>
      <c r="M64" s="1">
        <v>-0.77928723427838387</v>
      </c>
      <c r="N64" s="2">
        <v>-0.45744560473233276</v>
      </c>
      <c r="O64" s="2">
        <v>-1.7548296278111888</v>
      </c>
      <c r="P64" s="2">
        <v>-0.43390564010635679</v>
      </c>
      <c r="Q64" s="2">
        <v>-0.99314514314340674</v>
      </c>
      <c r="R64" s="2">
        <v>0.16455653429816602</v>
      </c>
      <c r="S64" s="2">
        <v>-0.57451816225074404</v>
      </c>
      <c r="T64" s="2">
        <v>-0.41902511108828377</v>
      </c>
      <c r="U64" s="2">
        <v>0.25924632186809227</v>
      </c>
      <c r="V64" s="2">
        <v>-1.5671094147414588</v>
      </c>
      <c r="W64" s="2">
        <v>6.5869435853509267E-2</v>
      </c>
      <c r="X64" s="2">
        <v>-0.71049864043831479</v>
      </c>
      <c r="Y64" s="2">
        <v>-1.1572609512700218</v>
      </c>
      <c r="Z64" s="2">
        <v>-0.15882281134711157</v>
      </c>
      <c r="AA64" s="2">
        <v>-0.75012575170914475</v>
      </c>
      <c r="AC64">
        <f t="shared" si="6"/>
        <v>-0.41179970143877664</v>
      </c>
      <c r="AD64">
        <f t="shared" si="7"/>
        <v>-0.60621532618704266</v>
      </c>
      <c r="AE64">
        <f t="shared" si="8"/>
        <v>1.1442605747490304</v>
      </c>
      <c r="AF64">
        <f t="shared" si="9"/>
        <v>0.52545804979503252</v>
      </c>
      <c r="AG64">
        <f t="shared" si="10"/>
        <v>0.19441562474826607</v>
      </c>
      <c r="AH64">
        <f t="shared" si="11"/>
        <v>0.27946195036792526</v>
      </c>
      <c r="AI64" t="s">
        <v>101</v>
      </c>
      <c r="AL64" t="s">
        <v>100</v>
      </c>
      <c r="AM64">
        <v>-4.7235215715698095E-2</v>
      </c>
      <c r="AN64">
        <v>6.055421297928542E-2</v>
      </c>
    </row>
    <row r="65" spans="1:40" x14ac:dyDescent="0.2">
      <c r="A65" t="s">
        <v>102</v>
      </c>
      <c r="B65" s="1">
        <v>0.60449627604761869</v>
      </c>
      <c r="C65" s="1">
        <v>3.0407118806632987</v>
      </c>
      <c r="D65" s="1">
        <v>2.4100111709266887</v>
      </c>
      <c r="E65" s="1">
        <v>-0.16452106597416227</v>
      </c>
      <c r="F65" s="1">
        <v>1.0323537109802987</v>
      </c>
      <c r="G65" s="1">
        <v>-0.64749317444345422</v>
      </c>
      <c r="H65" s="1">
        <v>0.2132867683199427</v>
      </c>
      <c r="I65" s="1">
        <v>0.92000796507041471</v>
      </c>
      <c r="J65" s="1">
        <v>2.0407407993926108</v>
      </c>
      <c r="K65" s="1">
        <v>5.9470361048711895E-2</v>
      </c>
      <c r="L65" s="1">
        <v>1.0674303889803507</v>
      </c>
      <c r="M65" s="1">
        <v>1.1007335685618407</v>
      </c>
      <c r="N65" s="2">
        <v>1.3031245513368805</v>
      </c>
      <c r="O65" s="2">
        <v>0.6799273879615706</v>
      </c>
      <c r="P65" s="2">
        <v>0.77072588314603363</v>
      </c>
      <c r="Q65" s="2">
        <v>2.5953014101817757</v>
      </c>
      <c r="R65" s="2">
        <v>1.606140360239015</v>
      </c>
      <c r="S65" s="2">
        <v>1.5783745123671258</v>
      </c>
      <c r="T65" s="2">
        <v>0.5904134822990964</v>
      </c>
      <c r="U65" s="2">
        <v>2.0222371139655757</v>
      </c>
      <c r="V65" s="2">
        <v>1.7104379337603457</v>
      </c>
      <c r="W65" s="2">
        <v>0.39886175840672466</v>
      </c>
      <c r="X65" s="2">
        <v>0.55412461406404201</v>
      </c>
      <c r="Y65" s="2">
        <v>2.1458621180813857</v>
      </c>
      <c r="Z65" s="2">
        <v>0.79231152758881662</v>
      </c>
      <c r="AA65" s="2">
        <v>0.74245426506076662</v>
      </c>
      <c r="AC65">
        <f t="shared" si="6"/>
        <v>0.97310238746451327</v>
      </c>
      <c r="AD65">
        <f t="shared" si="7"/>
        <v>1.2493069227470828</v>
      </c>
      <c r="AE65">
        <f t="shared" si="8"/>
        <v>0.82576058603608249</v>
      </c>
      <c r="AF65">
        <f t="shared" si="9"/>
        <v>0.458639445334033</v>
      </c>
      <c r="AG65">
        <f t="shared" si="10"/>
        <v>-0.2762045352825695</v>
      </c>
      <c r="AH65">
        <f t="shared" si="11"/>
        <v>0.33852859645689937</v>
      </c>
      <c r="AI65" t="s">
        <v>102</v>
      </c>
      <c r="AL65" t="s">
        <v>74</v>
      </c>
      <c r="AM65">
        <v>2.6887211048506325E-2</v>
      </c>
      <c r="AN65">
        <v>5.8752826048826909E-2</v>
      </c>
    </row>
    <row r="66" spans="1:40" x14ac:dyDescent="0.2">
      <c r="A66" t="s">
        <v>103</v>
      </c>
      <c r="B66" s="1">
        <v>-0.6891713771387642</v>
      </c>
      <c r="C66" s="1">
        <v>-1.4649074637490731</v>
      </c>
      <c r="D66" s="1">
        <v>-0.16316561963678822</v>
      </c>
      <c r="E66" s="1">
        <v>-0.65949388991723712</v>
      </c>
      <c r="F66" s="1">
        <v>-0.89065374387814855</v>
      </c>
      <c r="G66" s="1">
        <v>-2.2186780404342112</v>
      </c>
      <c r="H66" s="1">
        <v>-1.3212390836458527</v>
      </c>
      <c r="I66" s="1">
        <v>-1.8934560572086527</v>
      </c>
      <c r="J66" s="1">
        <v>-1.3652367039732727</v>
      </c>
      <c r="K66" s="1">
        <v>-1.5515419493059626</v>
      </c>
      <c r="L66" s="1">
        <v>-1.0438084888983146</v>
      </c>
      <c r="M66" s="1">
        <v>-1.7269358945563327</v>
      </c>
      <c r="N66" s="2">
        <v>-1.9104947684262445</v>
      </c>
      <c r="O66" s="2">
        <v>-0.64234230449552476</v>
      </c>
      <c r="P66" s="2">
        <v>-0.69684745583946461</v>
      </c>
      <c r="Q66" s="2">
        <v>-1.5318424124465346</v>
      </c>
      <c r="R66" s="2">
        <v>-1.8572011866663187</v>
      </c>
      <c r="S66" s="2">
        <v>-1.7527674632608687</v>
      </c>
      <c r="T66" s="2">
        <v>-0.43513901467535465</v>
      </c>
      <c r="U66" s="2">
        <v>-0.14240645795367479</v>
      </c>
      <c r="V66" s="2">
        <v>-2.7560174278044745</v>
      </c>
      <c r="W66" s="2">
        <v>-2.2291198804308943</v>
      </c>
      <c r="X66" s="2">
        <v>-2.2115696510345844</v>
      </c>
      <c r="Y66" s="2">
        <v>-2.2889829634009047</v>
      </c>
      <c r="Z66" s="2">
        <v>0.53136935035994037</v>
      </c>
      <c r="AA66" s="2">
        <v>-2.6669854936728248</v>
      </c>
      <c r="AC66">
        <f t="shared" si="6"/>
        <v>-1.2490240260285506</v>
      </c>
      <c r="AD66">
        <f t="shared" si="7"/>
        <v>-1.4707390806962661</v>
      </c>
      <c r="AE66">
        <f t="shared" si="8"/>
        <v>1.1661190279762179</v>
      </c>
      <c r="AF66">
        <f t="shared" si="9"/>
        <v>0.49555105145135969</v>
      </c>
      <c r="AG66">
        <f t="shared" si="10"/>
        <v>0.22171505466771566</v>
      </c>
      <c r="AH66">
        <f t="shared" si="11"/>
        <v>0.30491159804744977</v>
      </c>
      <c r="AI66" t="s">
        <v>103</v>
      </c>
      <c r="AL66" t="s">
        <v>124</v>
      </c>
      <c r="AM66">
        <v>-3.6476518776019914E-2</v>
      </c>
      <c r="AN66">
        <v>5.7982781467108092E-2</v>
      </c>
    </row>
    <row r="67" spans="1:40" x14ac:dyDescent="0.2">
      <c r="A67" t="s">
        <v>104</v>
      </c>
      <c r="B67" s="1">
        <v>-1.2571977741231977E-2</v>
      </c>
      <c r="C67" s="1">
        <v>-1.807129653073102</v>
      </c>
      <c r="D67" s="1">
        <v>-1.5788956541212218</v>
      </c>
      <c r="E67" s="1">
        <v>0.26692894664107603</v>
      </c>
      <c r="F67" s="1">
        <v>-9.6656618640479919E-3</v>
      </c>
      <c r="G67" s="1">
        <v>0.29353071214489201</v>
      </c>
      <c r="H67" s="1">
        <v>0.14773023716388844</v>
      </c>
      <c r="I67" s="1">
        <v>-0.51270632184614406</v>
      </c>
      <c r="J67" s="1">
        <v>-0.84986242477289753</v>
      </c>
      <c r="K67" s="1">
        <v>-0.35993701968477343</v>
      </c>
      <c r="L67" s="1">
        <v>-0.60668812206963452</v>
      </c>
      <c r="M67" s="1">
        <v>1.3922922960298343</v>
      </c>
      <c r="N67" s="2">
        <v>-0.30572895627946284</v>
      </c>
      <c r="O67" s="2">
        <v>-0.66187750607540263</v>
      </c>
      <c r="P67" s="2">
        <v>-0.38324192127959267</v>
      </c>
      <c r="Q67" s="2">
        <v>-1.0513583695582129</v>
      </c>
      <c r="R67" s="2">
        <v>-1.7368885851483939E-2</v>
      </c>
      <c r="S67" s="2">
        <v>1.2177214406956052</v>
      </c>
      <c r="T67" s="2">
        <v>-0.4577756803583527</v>
      </c>
      <c r="U67" s="2">
        <v>-0.46905806388765281</v>
      </c>
      <c r="V67" s="2">
        <v>-1.1373760517757425</v>
      </c>
      <c r="W67" s="2">
        <v>-0.52229463325566272</v>
      </c>
      <c r="X67" s="2">
        <v>-0.62592247094104281</v>
      </c>
      <c r="Y67" s="2">
        <v>-1.3586358471593529</v>
      </c>
      <c r="Z67" s="2">
        <v>1.1707452270076162</v>
      </c>
      <c r="AA67" s="2">
        <v>0.31632501817839032</v>
      </c>
      <c r="AC67">
        <f t="shared" si="6"/>
        <v>-0.30308122026611356</v>
      </c>
      <c r="AD67">
        <f t="shared" si="7"/>
        <v>-0.30613190718145356</v>
      </c>
      <c r="AE67">
        <f t="shared" si="8"/>
        <v>1.0021168123246216</v>
      </c>
      <c r="AF67">
        <f t="shared" si="9"/>
        <v>0.99255934829296888</v>
      </c>
      <c r="AG67">
        <f t="shared" si="10"/>
        <v>3.0506869153401357E-3</v>
      </c>
      <c r="AH67">
        <f t="shared" si="11"/>
        <v>3.243515934562687E-3</v>
      </c>
      <c r="AI67" t="s">
        <v>104</v>
      </c>
      <c r="AL67" t="s">
        <v>115</v>
      </c>
      <c r="AM67">
        <v>3.7126728546835693E-2</v>
      </c>
      <c r="AN67">
        <v>5.7336131401308804E-2</v>
      </c>
    </row>
    <row r="68" spans="1:40" x14ac:dyDescent="0.2">
      <c r="A68" t="s">
        <v>105</v>
      </c>
      <c r="B68" s="1">
        <v>3.5759463724403893</v>
      </c>
      <c r="C68" s="1">
        <v>0.17363950346078894</v>
      </c>
      <c r="D68" s="1">
        <v>-1.5178008104617513</v>
      </c>
      <c r="E68" s="1">
        <v>1.049771635614519</v>
      </c>
      <c r="F68" s="1">
        <v>4.7384823291763194</v>
      </c>
      <c r="G68" s="1">
        <v>4.1463502394662086</v>
      </c>
      <c r="H68" s="1">
        <v>1.1034294410293584</v>
      </c>
      <c r="I68" s="1">
        <v>1.7677794685313382</v>
      </c>
      <c r="J68" s="1">
        <v>0.29804580493818822</v>
      </c>
      <c r="K68" s="1">
        <v>2.6948333811834684</v>
      </c>
      <c r="L68" s="1">
        <v>3.4613897277829682</v>
      </c>
      <c r="M68" s="1">
        <v>1.3472240808997382</v>
      </c>
      <c r="N68" s="2">
        <v>3.0937007241673284</v>
      </c>
      <c r="O68" s="2">
        <v>1.7393720843133766</v>
      </c>
      <c r="P68" s="2">
        <v>1.1219832901204225</v>
      </c>
      <c r="Q68" s="2">
        <v>1.6245482754710645</v>
      </c>
      <c r="R68" s="2">
        <v>1.7142823948935515</v>
      </c>
      <c r="S68" s="2">
        <v>1.5755617673047715</v>
      </c>
      <c r="T68" s="2">
        <v>2.0672080067505307</v>
      </c>
      <c r="U68" s="2">
        <v>2.3735696994792614</v>
      </c>
      <c r="V68" s="2">
        <v>1.2423907594063666</v>
      </c>
      <c r="W68" s="2">
        <v>3.1095958605392617</v>
      </c>
      <c r="X68" s="2">
        <v>0.95047972118886248</v>
      </c>
      <c r="Y68" s="2">
        <v>0.26122719357665258</v>
      </c>
      <c r="Z68" s="2">
        <v>0.13137845093391265</v>
      </c>
      <c r="AA68" s="2">
        <v>1.3913854624444464</v>
      </c>
      <c r="AC68">
        <f t="shared" si="6"/>
        <v>1.9032575978384612</v>
      </c>
      <c r="AD68">
        <f t="shared" si="7"/>
        <v>1.5997631207564151</v>
      </c>
      <c r="AE68">
        <f t="shared" si="8"/>
        <v>1.2341300897338505</v>
      </c>
      <c r="AF68">
        <f t="shared" si="9"/>
        <v>0.61162707914226977</v>
      </c>
      <c r="AG68">
        <f t="shared" si="10"/>
        <v>0.30349447708204591</v>
      </c>
      <c r="AH68">
        <f t="shared" si="11"/>
        <v>0.21351329490504009</v>
      </c>
      <c r="AI68" t="s">
        <v>105</v>
      </c>
      <c r="AL68" t="s">
        <v>79</v>
      </c>
      <c r="AM68">
        <v>-4.7179542647670714E-2</v>
      </c>
      <c r="AN68">
        <v>5.3574121458743081E-2</v>
      </c>
    </row>
    <row r="69" spans="1:40" x14ac:dyDescent="0.2">
      <c r="A69" t="s">
        <v>106</v>
      </c>
      <c r="B69" s="1">
        <v>-0.62672948993085331</v>
      </c>
      <c r="C69" s="1">
        <v>1.5515019868077526</v>
      </c>
      <c r="D69" s="1">
        <v>-3.0828242024271471</v>
      </c>
      <c r="E69" s="1">
        <v>-0.65387349501442726</v>
      </c>
      <c r="F69" s="1">
        <v>1.6496611435388726</v>
      </c>
      <c r="G69" s="1" t="s">
        <v>67</v>
      </c>
      <c r="H69" s="1">
        <v>-0.24200819761103035</v>
      </c>
      <c r="I69" s="1">
        <v>0.3291544895925736</v>
      </c>
      <c r="J69" s="1">
        <v>-0.56358141873597845</v>
      </c>
      <c r="K69" s="1">
        <v>-0.50278026335850046</v>
      </c>
      <c r="L69" s="1">
        <v>-1.4159138101454556</v>
      </c>
      <c r="M69" s="1">
        <v>1.1995300387075645</v>
      </c>
      <c r="N69" s="2">
        <v>-2.0331920913561952</v>
      </c>
      <c r="O69" s="2">
        <v>-1.5308386653825354</v>
      </c>
      <c r="P69" s="2">
        <v>1.1671052442019447</v>
      </c>
      <c r="Q69" s="2">
        <v>-1.6137466516889554</v>
      </c>
      <c r="R69" s="2">
        <v>-0.48512986084248422</v>
      </c>
      <c r="S69" s="2">
        <v>1.6795717142398507</v>
      </c>
      <c r="T69" s="2">
        <v>0.11483853592969165</v>
      </c>
      <c r="U69" s="2">
        <v>-0.74062484994720545</v>
      </c>
      <c r="V69" s="2">
        <v>-1.3259911276068854</v>
      </c>
      <c r="W69" s="2">
        <v>1.0049544132996566</v>
      </c>
      <c r="X69" s="2">
        <v>-2.0622159356627057</v>
      </c>
      <c r="Y69" s="2">
        <v>-1.9370889677953256</v>
      </c>
      <c r="Z69" s="2">
        <v>0.70722769897618265</v>
      </c>
      <c r="AA69" s="2">
        <v>0.7545730018790886</v>
      </c>
      <c r="AC69">
        <f t="shared" si="6"/>
        <v>-0.21435120168878452</v>
      </c>
      <c r="AD69">
        <f t="shared" si="7"/>
        <v>-0.45003982441113416</v>
      </c>
      <c r="AE69">
        <f t="shared" si="8"/>
        <v>1.1774686287818616</v>
      </c>
      <c r="AF69">
        <f t="shared" si="9"/>
        <v>0.67164275317809108</v>
      </c>
      <c r="AG69">
        <f t="shared" si="10"/>
        <v>0.23568862272234969</v>
      </c>
      <c r="AH69">
        <f t="shared" si="11"/>
        <v>0.1728616667949128</v>
      </c>
      <c r="AI69" t="s">
        <v>106</v>
      </c>
      <c r="AL69" t="s">
        <v>71</v>
      </c>
      <c r="AM69">
        <v>-3.9814861966713522E-2</v>
      </c>
      <c r="AN69">
        <v>5.0590481870576805E-2</v>
      </c>
    </row>
    <row r="70" spans="1:40" x14ac:dyDescent="0.2">
      <c r="A70" t="s">
        <v>107</v>
      </c>
      <c r="B70" s="1">
        <v>3.7310653502201405</v>
      </c>
      <c r="C70" s="1">
        <v>5.1242996871775617</v>
      </c>
      <c r="D70" s="1">
        <v>3.4175484818784807</v>
      </c>
      <c r="E70" s="1">
        <v>3.8882123249724008</v>
      </c>
      <c r="F70" s="1">
        <v>5.4570268004319509</v>
      </c>
      <c r="G70" s="1">
        <v>4.720416525747801</v>
      </c>
      <c r="H70" s="1">
        <v>1.6653448606264103</v>
      </c>
      <c r="I70" s="1">
        <v>3.7703299004986106</v>
      </c>
      <c r="J70" s="1">
        <v>3.5913191432199603</v>
      </c>
      <c r="K70" s="1">
        <v>5.542691400558331</v>
      </c>
      <c r="L70" s="1">
        <v>5.2204834353044909</v>
      </c>
      <c r="M70" s="1">
        <v>5.1045192870332805</v>
      </c>
      <c r="N70" s="2">
        <v>6.4585068649467985</v>
      </c>
      <c r="O70" s="2">
        <v>2.6338974613466486</v>
      </c>
      <c r="P70" s="2">
        <v>6.5331025276625985</v>
      </c>
      <c r="Q70" s="2">
        <v>5.633933184096569</v>
      </c>
      <c r="R70" s="2">
        <v>4.220031622999052</v>
      </c>
      <c r="S70" s="2">
        <v>3.5996822407819424</v>
      </c>
      <c r="T70" s="2">
        <v>2.8182994690932688</v>
      </c>
      <c r="U70" s="2">
        <v>3.0277665370952187</v>
      </c>
      <c r="V70" s="2">
        <v>6.1884434906313288</v>
      </c>
      <c r="W70" s="2">
        <v>2.7971213914111486</v>
      </c>
      <c r="X70" s="2">
        <v>4.9509878818840285</v>
      </c>
      <c r="Y70" s="2">
        <v>3.9231545218559587</v>
      </c>
      <c r="Z70" s="2">
        <v>2.1224201815241237</v>
      </c>
      <c r="AA70" s="2">
        <v>1.2949335192302016</v>
      </c>
      <c r="AC70">
        <f t="shared" si="6"/>
        <v>4.2694380998057859</v>
      </c>
      <c r="AD70">
        <f t="shared" si="7"/>
        <v>4.0144486353256346</v>
      </c>
      <c r="AE70">
        <f t="shared" si="8"/>
        <v>1.1933270285313289</v>
      </c>
      <c r="AF70">
        <f t="shared" si="9"/>
        <v>0.65335323134161716</v>
      </c>
      <c r="AG70">
        <f t="shared" si="10"/>
        <v>0.25498946448015142</v>
      </c>
      <c r="AH70">
        <f t="shared" si="11"/>
        <v>0.18485195663317655</v>
      </c>
      <c r="AI70" t="s">
        <v>107</v>
      </c>
      <c r="AL70" t="s">
        <v>90</v>
      </c>
      <c r="AM70">
        <v>-3.5961862579546415E-2</v>
      </c>
      <c r="AN70">
        <v>4.6632889063378931E-2</v>
      </c>
    </row>
    <row r="71" spans="1:40" x14ac:dyDescent="0.2">
      <c r="A71" t="s">
        <v>108</v>
      </c>
      <c r="B71" s="1">
        <v>0.28074037465285084</v>
      </c>
      <c r="C71" s="1">
        <v>-1.121925944088324</v>
      </c>
      <c r="D71" s="1">
        <v>-0.29070974718412795</v>
      </c>
      <c r="E71" s="1">
        <v>-0.56427909422467415</v>
      </c>
      <c r="F71" s="1">
        <v>-0.17869824057472686</v>
      </c>
      <c r="G71" s="1">
        <v>-1.9143806350848713</v>
      </c>
      <c r="H71" s="1">
        <v>-0.82570368758342894</v>
      </c>
      <c r="I71" s="1">
        <v>-0.43739723481555304</v>
      </c>
      <c r="J71" s="1">
        <v>-1.1667216530153091</v>
      </c>
      <c r="K71" s="1">
        <v>-0.25264291794215299</v>
      </c>
      <c r="L71" s="1">
        <v>0.31987454667827075</v>
      </c>
      <c r="M71" s="1">
        <v>-0.72542363756782502</v>
      </c>
      <c r="N71" s="2">
        <v>-0.6960685283457182</v>
      </c>
      <c r="O71" s="2">
        <v>-0.39213911365097814</v>
      </c>
      <c r="P71" s="2">
        <v>-0.39184078099765013</v>
      </c>
      <c r="Q71" s="2">
        <v>-0.74900127320975718</v>
      </c>
      <c r="R71" s="2">
        <v>-0.55379213691046769</v>
      </c>
      <c r="S71" s="2">
        <v>4.4011299970233564E-3</v>
      </c>
      <c r="T71" s="2">
        <v>-0.39408154503334614</v>
      </c>
      <c r="U71" s="2">
        <v>6.696824414611785E-2</v>
      </c>
      <c r="V71" s="2">
        <v>-1.751371687384448</v>
      </c>
      <c r="W71" s="2">
        <v>-0.49621001126114112</v>
      </c>
      <c r="X71" s="2">
        <v>0.27456636937956685</v>
      </c>
      <c r="Y71" s="2">
        <v>-1.8712332850844982</v>
      </c>
      <c r="Z71" s="2">
        <v>-0.69071408375007415</v>
      </c>
      <c r="AA71" s="2">
        <v>-0.44183562653474312</v>
      </c>
      <c r="AC71">
        <f t="shared" si="6"/>
        <v>-0.57310565589582263</v>
      </c>
      <c r="AD71">
        <f t="shared" si="7"/>
        <v>-0.57731088061715108</v>
      </c>
      <c r="AE71">
        <f t="shared" si="8"/>
        <v>1.0029190919348927</v>
      </c>
      <c r="AF71">
        <f t="shared" si="9"/>
        <v>0.98638468357992404</v>
      </c>
      <c r="AG71">
        <f t="shared" si="10"/>
        <v>4.2052247213283846E-3</v>
      </c>
      <c r="AH71">
        <f t="shared" si="11"/>
        <v>5.9536800136685986E-3</v>
      </c>
      <c r="AI71" t="s">
        <v>108</v>
      </c>
      <c r="AL71" t="s">
        <v>94</v>
      </c>
      <c r="AM71">
        <v>-3.658790514903535E-2</v>
      </c>
      <c r="AN71">
        <v>4.5295209357933339E-2</v>
      </c>
    </row>
    <row r="72" spans="1:40" x14ac:dyDescent="0.2">
      <c r="A72" t="s">
        <v>109</v>
      </c>
      <c r="B72" s="1">
        <v>-0.34145362154803999</v>
      </c>
      <c r="C72" s="1">
        <v>-1.2705241077217502</v>
      </c>
      <c r="D72" s="1">
        <v>-1.18124619313584</v>
      </c>
      <c r="E72" s="1">
        <v>-0.26935759534675285</v>
      </c>
      <c r="F72" s="1">
        <v>0.40315080334065989</v>
      </c>
      <c r="G72" s="1">
        <v>-0.30875492242509228</v>
      </c>
      <c r="H72" s="1">
        <v>-0.22866832573564613</v>
      </c>
      <c r="I72" s="1">
        <v>0.35996488604584287</v>
      </c>
      <c r="J72" s="1">
        <v>0.54798105413428388</v>
      </c>
      <c r="K72" s="1">
        <v>0.22961879981938288</v>
      </c>
      <c r="L72" s="1">
        <v>1.4262592810659878</v>
      </c>
      <c r="M72" s="1">
        <v>-3.1846644814209124E-2</v>
      </c>
      <c r="N72" s="2">
        <v>-0.4247901431334381</v>
      </c>
      <c r="O72" s="2">
        <v>-0.17420361266271014</v>
      </c>
      <c r="P72" s="2">
        <v>-0.83681891098775707</v>
      </c>
      <c r="Q72" s="2">
        <v>-0.10921589737072415</v>
      </c>
      <c r="R72" s="2">
        <v>-1.0436481078268023</v>
      </c>
      <c r="S72" s="2">
        <v>-0.49082788513988718</v>
      </c>
      <c r="T72" s="2">
        <v>-0.11411601701582114</v>
      </c>
      <c r="U72" s="2">
        <v>0.30235970144647184</v>
      </c>
      <c r="V72" s="2">
        <v>-0.73240573901032313</v>
      </c>
      <c r="W72" s="2">
        <v>0.42664662148516586</v>
      </c>
      <c r="X72" s="2">
        <v>-0.35142204818391409</v>
      </c>
      <c r="Y72" s="2">
        <v>-1.3044111462704042</v>
      </c>
      <c r="Z72" s="2">
        <v>0.18558805244028126</v>
      </c>
      <c r="AA72" s="2">
        <v>0.81268924856769487</v>
      </c>
      <c r="AC72">
        <f t="shared" si="6"/>
        <v>-5.5406382193431136E-2</v>
      </c>
      <c r="AD72">
        <f t="shared" si="7"/>
        <v>-0.27532684883301195</v>
      </c>
      <c r="AE72">
        <f t="shared" si="8"/>
        <v>1.1646693784271613</v>
      </c>
      <c r="AF72">
        <f t="shared" si="9"/>
        <v>0.41614527320796357</v>
      </c>
      <c r="AG72">
        <f t="shared" si="10"/>
        <v>0.2199204666395809</v>
      </c>
      <c r="AH72">
        <f t="shared" si="11"/>
        <v>0.38075503394310045</v>
      </c>
      <c r="AI72" t="s">
        <v>109</v>
      </c>
      <c r="AL72" t="s">
        <v>85</v>
      </c>
      <c r="AM72">
        <v>3.6731826485692377E-2</v>
      </c>
      <c r="AN72">
        <v>3.8524645844536992E-2</v>
      </c>
    </row>
    <row r="73" spans="1:40" x14ac:dyDescent="0.2">
      <c r="A73" t="s">
        <v>110</v>
      </c>
      <c r="B73" s="1">
        <v>1.1360244074764367</v>
      </c>
      <c r="C73" s="1">
        <v>-1.7122772056689233</v>
      </c>
      <c r="D73" s="1">
        <v>-3.2515608672810137</v>
      </c>
      <c r="E73" s="1">
        <v>-6.1251571916441261E-2</v>
      </c>
      <c r="F73" s="1">
        <v>-2.1689268477883132</v>
      </c>
      <c r="G73" s="1">
        <v>0.92397087991178672</v>
      </c>
      <c r="H73" s="1">
        <v>-1.6232786993476018</v>
      </c>
      <c r="I73" s="1">
        <v>-1.5693662432594988</v>
      </c>
      <c r="J73" s="1">
        <v>-2.0150783127115659</v>
      </c>
      <c r="K73" s="1">
        <v>0.21899803897573311</v>
      </c>
      <c r="L73" s="1">
        <v>-3.0907769664523759</v>
      </c>
      <c r="M73" s="1">
        <v>0.51003244104824419</v>
      </c>
      <c r="N73" s="2">
        <v>2.5827874545955698E-2</v>
      </c>
      <c r="O73" s="2">
        <v>-0.57050587112545426</v>
      </c>
      <c r="P73" s="2">
        <v>-1.5402128477178043</v>
      </c>
      <c r="Q73" s="2">
        <v>-0.80929803396454436</v>
      </c>
      <c r="R73" s="2">
        <v>-1.5957172244403433</v>
      </c>
      <c r="S73" s="2">
        <v>0.65245098602500295</v>
      </c>
      <c r="T73" s="2">
        <v>-0.44691471113794434</v>
      </c>
      <c r="U73" s="2">
        <v>-1.0983041854684343</v>
      </c>
      <c r="V73" s="2">
        <v>-0.9711283823639143</v>
      </c>
      <c r="W73" s="2">
        <v>-0.9449989971547843</v>
      </c>
      <c r="X73" s="2">
        <v>-1.1896379117241942</v>
      </c>
      <c r="Y73" s="2">
        <v>-1.2011848264930043</v>
      </c>
      <c r="Z73" s="2">
        <v>-1.3993561685661842</v>
      </c>
      <c r="AA73" s="2">
        <v>-1.3347337695216444</v>
      </c>
      <c r="AC73">
        <f t="shared" si="6"/>
        <v>-1.058624245584461</v>
      </c>
      <c r="AD73">
        <f t="shared" si="7"/>
        <v>-0.88740814779337807</v>
      </c>
      <c r="AE73">
        <f t="shared" si="8"/>
        <v>0.88809376046871991</v>
      </c>
      <c r="AF73">
        <f t="shared" si="9"/>
        <v>0.72327282937921133</v>
      </c>
      <c r="AG73">
        <f t="shared" si="10"/>
        <v>-0.17121609779108291</v>
      </c>
      <c r="AH73">
        <f t="shared" si="11"/>
        <v>0.14069784939523453</v>
      </c>
      <c r="AI73" t="s">
        <v>110</v>
      </c>
      <c r="AL73" t="s">
        <v>88</v>
      </c>
      <c r="AM73">
        <v>3.5569276753947901E-2</v>
      </c>
      <c r="AN73">
        <v>3.8220608272289847E-2</v>
      </c>
    </row>
    <row r="74" spans="1:40" x14ac:dyDescent="0.2">
      <c r="A74" t="s">
        <v>111</v>
      </c>
      <c r="B74" s="1">
        <v>0.77854875687866265</v>
      </c>
      <c r="C74" s="1">
        <v>0.54428356100270159</v>
      </c>
      <c r="D74" s="1">
        <v>1.6815435407318124</v>
      </c>
      <c r="E74" s="1">
        <v>-0.17645913717618744</v>
      </c>
      <c r="F74" s="1">
        <v>0.67897610470576253</v>
      </c>
      <c r="G74" s="1">
        <v>-1.0449801169250634</v>
      </c>
      <c r="H74" s="1">
        <v>1.1061490208820302E-2</v>
      </c>
      <c r="I74" s="1">
        <v>0.53735373642272988</v>
      </c>
      <c r="J74" s="1">
        <v>0.75909756368404424</v>
      </c>
      <c r="K74" s="1">
        <v>4.5020120495676181</v>
      </c>
      <c r="L74" s="1">
        <v>1.2608636615041193</v>
      </c>
      <c r="M74" s="1">
        <v>-8.9689522306698688E-2</v>
      </c>
      <c r="N74" s="2">
        <v>2.4201230158406339</v>
      </c>
      <c r="O74" s="2">
        <v>0.55157934319814372</v>
      </c>
      <c r="P74" s="2">
        <v>0.57807473150108368</v>
      </c>
      <c r="Q74" s="2">
        <v>-0.18473982480470025</v>
      </c>
      <c r="R74" s="2">
        <v>0.56895511213999894</v>
      </c>
      <c r="S74" s="2">
        <v>0.33329098232795495</v>
      </c>
      <c r="T74" s="2">
        <v>0.52593944285601568</v>
      </c>
      <c r="U74" s="2">
        <v>-0.32421185768180227</v>
      </c>
      <c r="V74" s="2">
        <v>2.8764866417461636</v>
      </c>
      <c r="W74" s="2">
        <v>0.16406816194794172</v>
      </c>
      <c r="X74" s="2">
        <v>1.7524666933250839</v>
      </c>
      <c r="Y74" s="2">
        <v>-0.62529461925576324</v>
      </c>
      <c r="Z74" s="2">
        <v>-1.8286953793252847E-3</v>
      </c>
      <c r="AA74" s="2">
        <v>0.48384373201104969</v>
      </c>
      <c r="AC74">
        <f t="shared" si="6"/>
        <v>0.78688430735819359</v>
      </c>
      <c r="AD74">
        <f t="shared" si="7"/>
        <v>0.65133948998374858</v>
      </c>
      <c r="AE74">
        <f t="shared" si="8"/>
        <v>1.0985075743594626</v>
      </c>
      <c r="AF74">
        <f t="shared" si="9"/>
        <v>0.78027464923518608</v>
      </c>
      <c r="AG74">
        <f t="shared" si="10"/>
        <v>0.13554481737444496</v>
      </c>
      <c r="AH74">
        <f t="shared" si="11"/>
        <v>0.10775250288341237</v>
      </c>
      <c r="AI74" t="s">
        <v>111</v>
      </c>
      <c r="AL74" t="s">
        <v>52</v>
      </c>
      <c r="AM74">
        <v>-4.7927616760038622E-2</v>
      </c>
      <c r="AN74">
        <v>3.7101153952940828E-2</v>
      </c>
    </row>
    <row r="75" spans="1:40" x14ac:dyDescent="0.2">
      <c r="A75" t="s">
        <v>112</v>
      </c>
      <c r="B75" s="1">
        <v>-0.73775795446120185</v>
      </c>
      <c r="C75" s="1">
        <v>-1.5512462773407569</v>
      </c>
      <c r="D75" s="1">
        <v>-0.42823133323949691</v>
      </c>
      <c r="E75" s="1">
        <v>2.0730639990937432</v>
      </c>
      <c r="F75" s="1">
        <v>-0.64943002835261188</v>
      </c>
      <c r="G75" s="1">
        <v>-1.0953074071316267</v>
      </c>
      <c r="H75" s="1">
        <v>1.3990076878929003E-2</v>
      </c>
      <c r="I75" s="1">
        <v>-0.45811767431772599</v>
      </c>
      <c r="J75" s="1">
        <v>-0.73379630033813892</v>
      </c>
      <c r="K75" s="1">
        <v>-0.87376729396918895</v>
      </c>
      <c r="L75" s="1">
        <v>-1.1306140682322989</v>
      </c>
      <c r="M75" s="1">
        <v>-2.3470457924709391</v>
      </c>
      <c r="N75" s="2">
        <v>-0.2472731864812962</v>
      </c>
      <c r="O75" s="2">
        <v>-0.6863946640396672</v>
      </c>
      <c r="P75" s="2">
        <v>-1.1321468189761053</v>
      </c>
      <c r="Q75" s="2">
        <v>-0.17734129449031621</v>
      </c>
      <c r="R75" s="2">
        <v>-0.48571093799450393</v>
      </c>
      <c r="S75" s="2">
        <v>-0.6432432296076569</v>
      </c>
      <c r="T75" s="2">
        <v>-0.62241731287962121</v>
      </c>
      <c r="U75" s="2">
        <v>-0.67210600196293824</v>
      </c>
      <c r="V75" s="2">
        <v>-0.58807744342071022</v>
      </c>
      <c r="W75" s="2">
        <v>-0.73990875542564227</v>
      </c>
      <c r="X75" s="2">
        <v>-0.96813066012448523</v>
      </c>
      <c r="Y75" s="2">
        <v>-0.27127692948703419</v>
      </c>
      <c r="Z75" s="2">
        <v>-0.5851710853956722</v>
      </c>
      <c r="AA75" s="2">
        <v>-0.65259649067157122</v>
      </c>
      <c r="AC75">
        <f t="shared" si="6"/>
        <v>-0.65985500449010959</v>
      </c>
      <c r="AD75">
        <f t="shared" si="7"/>
        <v>-0.60512820078265872</v>
      </c>
      <c r="AE75">
        <f t="shared" si="8"/>
        <v>0.96277674228943477</v>
      </c>
      <c r="AF75">
        <f t="shared" si="9"/>
        <v>0.86320487726257822</v>
      </c>
      <c r="AG75">
        <f t="shared" si="10"/>
        <v>-5.4726803707450929E-2</v>
      </c>
      <c r="AH75">
        <f t="shared" si="11"/>
        <v>6.3886114476396333E-2</v>
      </c>
      <c r="AI75" t="s">
        <v>112</v>
      </c>
      <c r="AL75" t="s">
        <v>78</v>
      </c>
      <c r="AM75">
        <v>-1.4876288878727077E-2</v>
      </c>
      <c r="AN75">
        <v>3.1554050469311576E-2</v>
      </c>
    </row>
    <row r="76" spans="1:40" x14ac:dyDescent="0.2">
      <c r="A76" t="s">
        <v>113</v>
      </c>
      <c r="B76" s="1">
        <v>2.6877622790718161</v>
      </c>
      <c r="C76" s="1">
        <v>-1.2301010235702337</v>
      </c>
      <c r="D76" s="1">
        <v>-1.3030213653627638</v>
      </c>
      <c r="E76" s="1">
        <v>-0.73501520355173466</v>
      </c>
      <c r="F76" s="1">
        <v>0.13827389351999142</v>
      </c>
      <c r="G76" s="1">
        <v>-0.9158431868993836</v>
      </c>
      <c r="H76" s="1">
        <v>-0.27696945508075893</v>
      </c>
      <c r="I76" s="1">
        <v>-0.52437046029021706</v>
      </c>
      <c r="J76" s="1">
        <v>-0.46220255881578604</v>
      </c>
      <c r="K76" s="1">
        <v>-0.37702610069428594</v>
      </c>
      <c r="L76" s="1">
        <v>-8.015348532586497E-2</v>
      </c>
      <c r="M76" s="1">
        <v>1.5507928168590379</v>
      </c>
      <c r="N76" s="2">
        <v>-0.45499973849382663</v>
      </c>
      <c r="O76" s="2">
        <v>-0.73526342861618754</v>
      </c>
      <c r="P76" s="2">
        <v>-0.37549690465703295</v>
      </c>
      <c r="Q76" s="2">
        <v>9.169898195900944E-2</v>
      </c>
      <c r="R76" s="2">
        <v>-0.27814841952256458</v>
      </c>
      <c r="S76" s="2">
        <v>-0.41775397948107568</v>
      </c>
      <c r="T76" s="2">
        <v>-0.34528936271221822</v>
      </c>
      <c r="U76" s="2">
        <v>-0.43718434328068512</v>
      </c>
      <c r="V76" s="2">
        <v>-0.76581777265720652</v>
      </c>
      <c r="W76" s="2">
        <v>-0.54039974615902153</v>
      </c>
      <c r="X76" s="2">
        <v>-0.87389395603629061</v>
      </c>
      <c r="Y76" s="2">
        <v>-5.1171972560145607E-3</v>
      </c>
      <c r="Z76" s="2">
        <v>-0.29598750559000253</v>
      </c>
      <c r="AA76" s="2">
        <v>-0.25734690033704255</v>
      </c>
      <c r="AC76">
        <f t="shared" ref="AC76:AC89" si="12">AVERAGE(B76:M76)</f>
        <v>-0.12732282084501528</v>
      </c>
      <c r="AD76">
        <f t="shared" ref="AD76:AD89" si="13">AVERAGE(N76:AA76)</f>
        <v>-0.40650001948858272</v>
      </c>
      <c r="AE76">
        <f t="shared" ref="AE76:AE89" si="14">2^(AC76 - AD76)</f>
        <v>1.2135025992371364</v>
      </c>
      <c r="AF76">
        <f t="shared" ref="AF76:AF89" si="15">_xlfn.T.TEST(B76:M76,N76:AA76, 2, 3)</f>
        <v>0.43022604808585663</v>
      </c>
      <c r="AG76">
        <f t="shared" ref="AG76:AG89" si="16">LOG(AE76,2)</f>
        <v>0.27917719864356738</v>
      </c>
      <c r="AH76">
        <f t="shared" ref="AH76:AH89" si="17">-LOG(AF76,10)</f>
        <v>0.36630329874287226</v>
      </c>
      <c r="AI76" t="s">
        <v>113</v>
      </c>
      <c r="AL76" t="s">
        <v>95</v>
      </c>
      <c r="AM76">
        <v>1.0480049937796915E-2</v>
      </c>
      <c r="AN76">
        <v>1.3203681159232634E-2</v>
      </c>
    </row>
    <row r="77" spans="1:40" x14ac:dyDescent="0.2">
      <c r="A77" t="s">
        <v>114</v>
      </c>
      <c r="B77" s="1">
        <v>-0.70802598693787822</v>
      </c>
      <c r="C77" s="1">
        <v>-1.5767645070704153</v>
      </c>
      <c r="D77" s="1">
        <v>-1.9940849895617752</v>
      </c>
      <c r="E77" s="1">
        <v>-0.55078622695192425</v>
      </c>
      <c r="F77" s="1">
        <v>-0.4171808476470672</v>
      </c>
      <c r="G77" s="1">
        <v>-1.0123571026113054</v>
      </c>
      <c r="H77" s="1">
        <v>-0.33697127770613888</v>
      </c>
      <c r="I77" s="1">
        <v>-0.63502147481224591</v>
      </c>
      <c r="J77" s="1">
        <v>-0.46984883828754798</v>
      </c>
      <c r="K77" s="1">
        <v>-1.051005089877834</v>
      </c>
      <c r="L77" s="1">
        <v>-0.31342253351523397</v>
      </c>
      <c r="M77" s="1">
        <v>-3.7750328245697906E-2</v>
      </c>
      <c r="N77" s="2">
        <v>-0.3600274489167184</v>
      </c>
      <c r="O77" s="2">
        <v>-0.91309088514304004</v>
      </c>
      <c r="P77" s="2">
        <v>-1.0587097304547122</v>
      </c>
      <c r="Q77" s="2">
        <v>-0.26220746384542504</v>
      </c>
      <c r="R77" s="2">
        <v>-0.68434906642578985</v>
      </c>
      <c r="S77" s="2">
        <v>-0.91619944327226999</v>
      </c>
      <c r="T77" s="2">
        <v>-0.37825902514912213</v>
      </c>
      <c r="U77" s="2">
        <v>-0.70937923488958898</v>
      </c>
      <c r="V77" s="2">
        <v>-1.406350433602936</v>
      </c>
      <c r="W77" s="2">
        <v>6.2087222169596001E-2</v>
      </c>
      <c r="X77" s="2">
        <v>-1.030637629638987</v>
      </c>
      <c r="Y77" s="2">
        <v>-0.86206033204054699</v>
      </c>
      <c r="Z77" s="2">
        <v>-0.31969138441302047</v>
      </c>
      <c r="AA77" s="2">
        <v>-9.4986305530530002E-3</v>
      </c>
      <c r="AC77">
        <f t="shared" si="12"/>
        <v>-0.75860160026875556</v>
      </c>
      <c r="AD77">
        <f t="shared" si="13"/>
        <v>-0.63202667758397246</v>
      </c>
      <c r="AE77">
        <f t="shared" si="14"/>
        <v>0.91600353899065856</v>
      </c>
      <c r="AF77">
        <f t="shared" si="15"/>
        <v>0.53252750299427976</v>
      </c>
      <c r="AG77">
        <f t="shared" si="16"/>
        <v>-0.12657492268478296</v>
      </c>
      <c r="AH77">
        <f t="shared" si="17"/>
        <v>0.27365795767287698</v>
      </c>
      <c r="AI77" t="s">
        <v>114</v>
      </c>
      <c r="AL77" t="s">
        <v>125</v>
      </c>
      <c r="AM77">
        <v>-4.1841394477263854E-3</v>
      </c>
      <c r="AN77">
        <v>6.5145621623366881E-3</v>
      </c>
    </row>
    <row r="78" spans="1:40" x14ac:dyDescent="0.2">
      <c r="A78" t="s">
        <v>115</v>
      </c>
      <c r="B78" s="1">
        <v>-0.49943339758995586</v>
      </c>
      <c r="C78" s="1">
        <v>-0.73226250456807684</v>
      </c>
      <c r="D78" s="1">
        <v>-1.4409492573554239</v>
      </c>
      <c r="E78" s="1">
        <v>-1.4394000034135439</v>
      </c>
      <c r="F78" s="1">
        <v>-0.41778635172932987</v>
      </c>
      <c r="G78" s="1">
        <v>-0.94550463990121392</v>
      </c>
      <c r="H78" s="1">
        <v>-0.10203243141985635</v>
      </c>
      <c r="I78" s="1">
        <v>-0.58182631683689134</v>
      </c>
      <c r="J78" s="1">
        <v>1.2894500831971318</v>
      </c>
      <c r="K78" s="1">
        <v>-0.70023024513306631</v>
      </c>
      <c r="L78" s="1">
        <v>-0.3742878102325643</v>
      </c>
      <c r="M78" s="1">
        <v>-0.38265452854089332</v>
      </c>
      <c r="N78" s="2">
        <v>0.43644462165304321</v>
      </c>
      <c r="O78" s="2">
        <v>-0.40223252891766881</v>
      </c>
      <c r="P78" s="2">
        <v>-0.6393633442442298</v>
      </c>
      <c r="Q78" s="2">
        <v>-0.98686448603707677</v>
      </c>
      <c r="R78" s="2">
        <v>-0.71512416725171013</v>
      </c>
      <c r="S78" s="2">
        <v>-0.94649329660410808</v>
      </c>
      <c r="T78" s="2">
        <v>-0.30235422983616878</v>
      </c>
      <c r="U78" s="2">
        <v>-0.96326646784869085</v>
      </c>
      <c r="V78" s="2">
        <v>-1.183836230809336</v>
      </c>
      <c r="W78" s="2">
        <v>-0.2246090974631548</v>
      </c>
      <c r="X78" s="2">
        <v>-0.3732447844212069</v>
      </c>
      <c r="Y78" s="2">
        <v>-0.98916115460727583</v>
      </c>
      <c r="Z78" s="2">
        <v>-0.51297284766286788</v>
      </c>
      <c r="AA78" s="2">
        <v>-9.8099823049546786E-2</v>
      </c>
      <c r="AC78">
        <f t="shared" si="12"/>
        <v>-0.52724311696030701</v>
      </c>
      <c r="AD78">
        <f t="shared" si="13"/>
        <v>-0.56436984550714275</v>
      </c>
      <c r="AE78">
        <f t="shared" si="14"/>
        <v>1.0260682727906463</v>
      </c>
      <c r="AF78">
        <f t="shared" si="15"/>
        <v>0.87632231041382413</v>
      </c>
      <c r="AG78">
        <f t="shared" si="16"/>
        <v>3.7126728546835693E-2</v>
      </c>
      <c r="AH78">
        <f t="shared" si="17"/>
        <v>5.7336131401308804E-2</v>
      </c>
      <c r="AI78" t="s">
        <v>115</v>
      </c>
      <c r="AL78" t="s">
        <v>108</v>
      </c>
      <c r="AM78">
        <v>4.2052247213283846E-3</v>
      </c>
      <c r="AN78">
        <v>5.9536800136685986E-3</v>
      </c>
    </row>
    <row r="79" spans="1:40" x14ac:dyDescent="0.2">
      <c r="A79" t="s">
        <v>116</v>
      </c>
      <c r="B79" s="1">
        <v>0.17997271320440114</v>
      </c>
      <c r="C79" s="1">
        <v>-0.4777039744179169</v>
      </c>
      <c r="D79" s="1">
        <v>0.43770885236279911</v>
      </c>
      <c r="E79" s="1">
        <v>3.5294352560813129</v>
      </c>
      <c r="F79" s="1">
        <v>-0.64528069985469483</v>
      </c>
      <c r="G79" s="1">
        <v>-2.1167081281892171</v>
      </c>
      <c r="H79" s="1">
        <v>0.13809749671281418</v>
      </c>
      <c r="I79" s="1">
        <v>-0.11065414631950377</v>
      </c>
      <c r="J79" s="1">
        <v>-0.14055588445985878</v>
      </c>
      <c r="K79" s="1">
        <v>3.66892989139685</v>
      </c>
      <c r="L79" s="1">
        <v>8.0038894652494197E-2</v>
      </c>
      <c r="M79" s="1">
        <v>-1.4836851694154296</v>
      </c>
      <c r="N79" s="2">
        <v>9.7143954183437797E-2</v>
      </c>
      <c r="O79" s="2">
        <v>1.290548466208862</v>
      </c>
      <c r="P79" s="2">
        <v>0.59998054920476174</v>
      </c>
      <c r="Q79" s="2">
        <v>-1.4746068410984181</v>
      </c>
      <c r="R79" s="2">
        <v>-0.23229550910628993</v>
      </c>
      <c r="S79" s="2">
        <v>0.40664705906466181</v>
      </c>
      <c r="T79" s="2">
        <v>-8.8906566123829189E-2</v>
      </c>
      <c r="U79" s="2">
        <v>-0.44013622629200222</v>
      </c>
      <c r="V79" s="2">
        <v>-0.35361995155773618</v>
      </c>
      <c r="W79" s="2">
        <v>0.6241624582900217</v>
      </c>
      <c r="X79" s="2">
        <v>0.87050631893234176</v>
      </c>
      <c r="Y79" s="2">
        <v>-1.2318135559997723</v>
      </c>
      <c r="Z79" s="2">
        <v>-4.0025471417992231E-2</v>
      </c>
      <c r="AA79" s="2">
        <v>-0.16271228497801921</v>
      </c>
      <c r="AC79">
        <f t="shared" si="12"/>
        <v>0.25496625847950427</v>
      </c>
      <c r="AD79">
        <f t="shared" si="13"/>
        <v>-9.6519714778551813E-3</v>
      </c>
      <c r="AE79">
        <f t="shared" si="14"/>
        <v>1.2013181112650992</v>
      </c>
      <c r="AF79">
        <f t="shared" si="15"/>
        <v>0.62987197106245452</v>
      </c>
      <c r="AG79">
        <f t="shared" si="16"/>
        <v>0.26461822995735951</v>
      </c>
      <c r="AH79">
        <f t="shared" si="17"/>
        <v>0.20074771707280897</v>
      </c>
      <c r="AI79" t="s">
        <v>116</v>
      </c>
      <c r="AL79" t="s">
        <v>104</v>
      </c>
      <c r="AM79">
        <v>3.0506869153401357E-3</v>
      </c>
      <c r="AN79">
        <v>3.243515934562687E-3</v>
      </c>
    </row>
    <row r="80" spans="1:40" x14ac:dyDescent="0.2">
      <c r="A80" t="s">
        <v>117</v>
      </c>
      <c r="B80" s="1">
        <v>0.49637700690893061</v>
      </c>
      <c r="C80" s="1">
        <v>0.25417540082957563</v>
      </c>
      <c r="D80" s="1">
        <v>1.3647162492262466</v>
      </c>
      <c r="E80" s="1">
        <v>4.3046603065218765</v>
      </c>
      <c r="F80" s="1">
        <v>0.63626469487897763</v>
      </c>
      <c r="G80" s="1">
        <v>-0.73292680325483439</v>
      </c>
      <c r="H80" s="1">
        <v>0.92147813525927824</v>
      </c>
      <c r="I80" s="1">
        <v>1.0060775602679692</v>
      </c>
      <c r="J80" s="1">
        <v>0.95994508561441827</v>
      </c>
      <c r="K80" s="1">
        <v>1.1914902428025782</v>
      </c>
      <c r="L80" s="1">
        <v>1.2732026339868874</v>
      </c>
      <c r="M80" s="1">
        <v>-0.74846531175964581</v>
      </c>
      <c r="N80" s="2">
        <v>1.7584367432013801</v>
      </c>
      <c r="O80" s="2">
        <v>1.9162700253611598</v>
      </c>
      <c r="P80" s="2">
        <v>1.2894802593784098</v>
      </c>
      <c r="Q80" s="2">
        <v>1.4188121667401199</v>
      </c>
      <c r="R80" s="2">
        <v>1.3387706350971755</v>
      </c>
      <c r="S80" s="2">
        <v>1.3204732819962675</v>
      </c>
      <c r="T80" s="2">
        <v>0.22619478649956992</v>
      </c>
      <c r="U80" s="2">
        <v>0.51493536718804989</v>
      </c>
      <c r="V80" s="2">
        <v>1.1913182381491298</v>
      </c>
      <c r="W80" s="2">
        <v>0.49864220757488997</v>
      </c>
      <c r="X80" s="2">
        <v>2.8118077977775897</v>
      </c>
      <c r="Y80" s="2">
        <v>1.6404314661826098</v>
      </c>
      <c r="Z80" s="2">
        <v>8.2085734903299845E-2</v>
      </c>
      <c r="AA80" s="2">
        <v>0.13393420559853686</v>
      </c>
      <c r="AC80">
        <f t="shared" si="12"/>
        <v>0.91058293344018815</v>
      </c>
      <c r="AD80">
        <f t="shared" si="13"/>
        <v>1.1529709225462992</v>
      </c>
      <c r="AE80">
        <f t="shared" si="14"/>
        <v>0.84534491519164756</v>
      </c>
      <c r="AF80">
        <f t="shared" si="15"/>
        <v>0.57579751969827631</v>
      </c>
      <c r="AG80">
        <f t="shared" si="16"/>
        <v>-0.24238798910611101</v>
      </c>
      <c r="AH80">
        <f t="shared" si="17"/>
        <v>0.23973021021804808</v>
      </c>
      <c r="AI80" t="s">
        <v>117</v>
      </c>
    </row>
    <row r="81" spans="1:35" x14ac:dyDescent="0.2">
      <c r="A81" t="s">
        <v>118</v>
      </c>
      <c r="B81" s="1">
        <v>0.81112650436854861</v>
      </c>
      <c r="C81" s="1">
        <v>-4.8061738648954411E-2</v>
      </c>
      <c r="D81" s="1">
        <v>-4.172652702696944E-2</v>
      </c>
      <c r="E81" s="1">
        <v>0.34543222137589219</v>
      </c>
      <c r="F81" s="1">
        <v>0.12499164934159659</v>
      </c>
      <c r="G81" s="1">
        <v>0.7939066647969536</v>
      </c>
      <c r="H81" s="1">
        <v>2.1817684006096849E-2</v>
      </c>
      <c r="I81" s="1">
        <v>-0.29706024198745318</v>
      </c>
      <c r="J81" s="1">
        <v>0.16221562234632486</v>
      </c>
      <c r="K81" s="1">
        <v>-0.97026393051031012</v>
      </c>
      <c r="L81" s="1">
        <v>-3.6854217840754155E-2</v>
      </c>
      <c r="M81" s="1">
        <v>-0.47297372819174111</v>
      </c>
      <c r="N81" s="2">
        <v>1.4897722706820693</v>
      </c>
      <c r="O81" s="2">
        <v>0.39975205947964931</v>
      </c>
      <c r="P81" s="2">
        <v>0.53839804183403928</v>
      </c>
      <c r="Q81" s="2">
        <v>1.3042227664081694</v>
      </c>
      <c r="R81" s="2">
        <v>0.84244950040657574</v>
      </c>
      <c r="S81" s="2">
        <v>-2.9753280277640237E-2</v>
      </c>
      <c r="T81" s="2">
        <v>-0.29633197906838882</v>
      </c>
      <c r="U81" s="2">
        <v>-0.29092648188599979</v>
      </c>
      <c r="V81" s="2">
        <v>0.75215200536223925</v>
      </c>
      <c r="W81" s="2">
        <v>0.67052013069586924</v>
      </c>
      <c r="X81" s="2">
        <v>0.54987958256621927</v>
      </c>
      <c r="Y81" s="2">
        <v>0.63955227327345932</v>
      </c>
      <c r="Z81" s="2">
        <v>-0.95195307391774364</v>
      </c>
      <c r="AA81" s="2">
        <v>8.8905554224562033E-3</v>
      </c>
      <c r="AC81">
        <f t="shared" si="12"/>
        <v>3.2712496835769149E-2</v>
      </c>
      <c r="AD81">
        <f t="shared" si="13"/>
        <v>0.40190174078435525</v>
      </c>
      <c r="AE81">
        <f t="shared" si="14"/>
        <v>0.77421746406061931</v>
      </c>
      <c r="AF81">
        <f t="shared" si="15"/>
        <v>0.11644402746533976</v>
      </c>
      <c r="AG81">
        <f t="shared" si="16"/>
        <v>-0.36918924394858604</v>
      </c>
      <c r="AH81">
        <f t="shared" si="17"/>
        <v>0.93388278197142238</v>
      </c>
      <c r="AI81" t="s">
        <v>118</v>
      </c>
    </row>
    <row r="82" spans="1:35" x14ac:dyDescent="0.2">
      <c r="A82" t="s">
        <v>119</v>
      </c>
      <c r="B82" s="1">
        <v>-0.33168677184932915</v>
      </c>
      <c r="C82" s="1">
        <v>4.4898643915872893E-2</v>
      </c>
      <c r="D82" s="1">
        <v>-1.208472540238269</v>
      </c>
      <c r="E82" s="1">
        <v>-0.2189784124946863</v>
      </c>
      <c r="F82" s="1">
        <v>-1.7751321155383091</v>
      </c>
      <c r="G82" s="1">
        <v>0.80901845178174092</v>
      </c>
      <c r="H82" s="1">
        <v>-1.1999995962895291</v>
      </c>
      <c r="I82" s="1">
        <v>0.60816069303679599</v>
      </c>
      <c r="J82" s="1">
        <v>-1.7335142624227891</v>
      </c>
      <c r="K82" s="1">
        <v>0.47320937632056398</v>
      </c>
      <c r="L82" s="1">
        <v>-0.54171883905860607</v>
      </c>
      <c r="M82" s="1">
        <v>2.1006541082829608</v>
      </c>
      <c r="N82" s="2">
        <v>1.7065729900154509</v>
      </c>
      <c r="O82" s="2">
        <v>0.93436502346027694</v>
      </c>
      <c r="P82" s="2">
        <v>-4.8777461133457434E-2</v>
      </c>
      <c r="Q82" s="2">
        <v>0.80074666557225305</v>
      </c>
      <c r="R82" s="2">
        <v>-1.4867176828079662</v>
      </c>
      <c r="S82" s="2">
        <v>-0.76387950014903638</v>
      </c>
      <c r="T82" s="2">
        <v>0.41804625230243098</v>
      </c>
      <c r="U82" s="2">
        <v>-1.277782029680949</v>
      </c>
      <c r="V82" s="2">
        <v>-0.80670073422992594</v>
      </c>
      <c r="W82" s="2">
        <v>7.3388505574968871E-2</v>
      </c>
      <c r="X82" s="2">
        <v>0.16644954924470795</v>
      </c>
      <c r="Y82" s="2">
        <v>-1.918669278574699</v>
      </c>
      <c r="Z82" s="2">
        <v>-1.635441298269259</v>
      </c>
      <c r="AA82" s="2">
        <v>-0.923287767115895</v>
      </c>
      <c r="AC82">
        <f t="shared" si="12"/>
        <v>-0.24779677204613196</v>
      </c>
      <c r="AD82">
        <f t="shared" si="13"/>
        <v>-0.34012048327079281</v>
      </c>
      <c r="AE82">
        <f t="shared" si="14"/>
        <v>1.0660859170824988</v>
      </c>
      <c r="AF82">
        <f t="shared" si="15"/>
        <v>0.8355852865160992</v>
      </c>
      <c r="AG82">
        <f t="shared" si="16"/>
        <v>9.2323711224660848E-2</v>
      </c>
      <c r="AH82">
        <f t="shared" si="17"/>
        <v>7.8009215940564217E-2</v>
      </c>
      <c r="AI82" t="s">
        <v>119</v>
      </c>
    </row>
    <row r="83" spans="1:35" x14ac:dyDescent="0.2">
      <c r="A83" t="s">
        <v>120</v>
      </c>
      <c r="B83" s="1">
        <v>0.33501078491299247</v>
      </c>
      <c r="C83" s="1">
        <v>-0.63852817394269457</v>
      </c>
      <c r="D83" s="1">
        <v>-1.3285360594254043</v>
      </c>
      <c r="E83" s="1">
        <v>0.95035472628621542</v>
      </c>
      <c r="F83" s="1">
        <v>0.63577433911861347</v>
      </c>
      <c r="G83" s="1">
        <v>0.74327941578150447</v>
      </c>
      <c r="H83" s="1">
        <v>0.38434474420588705</v>
      </c>
      <c r="I83" s="1">
        <v>0.248570107053663</v>
      </c>
      <c r="J83" s="1">
        <v>1.237716831799732</v>
      </c>
      <c r="K83" s="1">
        <v>0.14364043518895903</v>
      </c>
      <c r="L83" s="1">
        <v>0.484754719493666</v>
      </c>
      <c r="M83" s="1">
        <v>3.9389209294131819</v>
      </c>
      <c r="N83" s="2">
        <v>1.0378829867996211</v>
      </c>
      <c r="O83" s="2">
        <v>0.95874307845324414</v>
      </c>
      <c r="P83" s="2">
        <v>0.37303446713295896</v>
      </c>
      <c r="Q83" s="2">
        <v>0.54833610785546416</v>
      </c>
      <c r="R83" s="2">
        <v>-0.89762086054099288</v>
      </c>
      <c r="S83" s="2">
        <v>-0.89787543834448791</v>
      </c>
      <c r="T83" s="2">
        <v>0.23802937611509314</v>
      </c>
      <c r="U83" s="2">
        <v>-0.96189911245210979</v>
      </c>
      <c r="V83" s="2">
        <v>1.46125546502084</v>
      </c>
      <c r="W83" s="2">
        <v>-5.3957936486119851E-2</v>
      </c>
      <c r="X83" s="2">
        <v>0.47157254367070323</v>
      </c>
      <c r="Y83" s="2">
        <v>-0.68640627949280997</v>
      </c>
      <c r="Z83" s="2">
        <v>-0.36167368969119384</v>
      </c>
      <c r="AA83" s="2">
        <v>-0.68286492957539979</v>
      </c>
      <c r="AC83">
        <f t="shared" si="12"/>
        <v>0.59460856665719308</v>
      </c>
      <c r="AD83">
        <f t="shared" si="13"/>
        <v>3.9039698461772188E-2</v>
      </c>
      <c r="AE83">
        <f t="shared" si="14"/>
        <v>1.4697480544877872</v>
      </c>
      <c r="AF83">
        <f t="shared" si="15"/>
        <v>0.20459614887438007</v>
      </c>
      <c r="AG83">
        <f t="shared" si="16"/>
        <v>0.55556886819542095</v>
      </c>
      <c r="AH83">
        <f t="shared" si="17"/>
        <v>0.68910254529808512</v>
      </c>
      <c r="AI83" t="s">
        <v>120</v>
      </c>
    </row>
    <row r="84" spans="1:35" x14ac:dyDescent="0.2">
      <c r="A84" t="s">
        <v>121</v>
      </c>
      <c r="B84" s="1">
        <v>4.3172710851320524</v>
      </c>
      <c r="C84" s="1">
        <v>0.72243631329323255</v>
      </c>
      <c r="D84" s="1">
        <v>-1.3807588094825514</v>
      </c>
      <c r="E84" s="1">
        <v>3.7750405599458823</v>
      </c>
      <c r="F84" s="1">
        <v>2.8068059667785223</v>
      </c>
      <c r="G84" s="1">
        <v>4.1224737797514726</v>
      </c>
      <c r="H84" s="1">
        <v>2.1578949870735271</v>
      </c>
      <c r="I84" s="1">
        <v>2.8674490139878572</v>
      </c>
      <c r="J84" s="1">
        <v>1.2047223390021171</v>
      </c>
      <c r="K84" s="1">
        <v>3.2128531652798369</v>
      </c>
      <c r="L84" s="1">
        <v>-0.25762171941294693</v>
      </c>
      <c r="M84" s="1">
        <v>5.1753169806025863</v>
      </c>
      <c r="N84" s="2">
        <v>2.2303243069796812</v>
      </c>
      <c r="O84" s="2">
        <v>0.95822937314981438</v>
      </c>
      <c r="P84" s="2">
        <v>1.922484231330909</v>
      </c>
      <c r="Q84" s="2">
        <v>3.1999206113280509</v>
      </c>
      <c r="R84" s="2">
        <v>0.73966010232637058</v>
      </c>
      <c r="S84" s="2">
        <v>2.5948489456650816</v>
      </c>
      <c r="T84" s="2">
        <v>0.93164706321010349</v>
      </c>
      <c r="U84" s="2">
        <v>0.6685786561786019</v>
      </c>
      <c r="V84" s="2">
        <v>4.8816856339973009</v>
      </c>
      <c r="W84" s="2">
        <v>1.6276300116064879</v>
      </c>
      <c r="X84" s="2">
        <v>0.6446366143846769</v>
      </c>
      <c r="Y84" s="2">
        <v>2.2688953855710308</v>
      </c>
      <c r="Z84" s="2">
        <v>1.219520859098846</v>
      </c>
      <c r="AA84" s="2">
        <v>1.093854495853221</v>
      </c>
      <c r="AC84">
        <f t="shared" si="12"/>
        <v>2.3936569718292993</v>
      </c>
      <c r="AD84">
        <f t="shared" si="13"/>
        <v>1.7844225921914414</v>
      </c>
      <c r="AE84">
        <f t="shared" si="14"/>
        <v>1.5254494570126629</v>
      </c>
      <c r="AF84">
        <f t="shared" si="15"/>
        <v>0.36401905748318453</v>
      </c>
      <c r="AG84">
        <f t="shared" si="16"/>
        <v>0.60923437963785798</v>
      </c>
      <c r="AH84">
        <f t="shared" si="17"/>
        <v>0.43887587914454029</v>
      </c>
      <c r="AI84" t="s">
        <v>121</v>
      </c>
    </row>
    <row r="85" spans="1:35" x14ac:dyDescent="0.2">
      <c r="A85" t="s">
        <v>122</v>
      </c>
      <c r="B85" s="1">
        <v>1.5224059752347774</v>
      </c>
      <c r="C85" s="1">
        <v>-0.53045316152819266</v>
      </c>
      <c r="D85" s="1">
        <v>0.99503940086532638</v>
      </c>
      <c r="E85" s="1">
        <v>-0.15134796239677262</v>
      </c>
      <c r="F85" s="1">
        <v>0.5745856179454174</v>
      </c>
      <c r="G85" s="1">
        <v>-1.3939777181279527</v>
      </c>
      <c r="H85" s="1">
        <v>7.5579394385105775E-2</v>
      </c>
      <c r="I85" s="1">
        <v>-0.48594129302926481</v>
      </c>
      <c r="J85" s="1">
        <v>0.12951658621293319</v>
      </c>
      <c r="K85" s="1">
        <v>-0.36909898860867585</v>
      </c>
      <c r="L85" s="1">
        <v>-2.4742124448319219E-2</v>
      </c>
      <c r="M85" s="1">
        <v>-0.59395375471556278</v>
      </c>
      <c r="N85" s="2">
        <v>-1.1914682431788282</v>
      </c>
      <c r="O85" s="2">
        <v>-3.6301429386264128E-2</v>
      </c>
      <c r="P85" s="2">
        <v>-0.26650276028341613</v>
      </c>
      <c r="Q85" s="2">
        <v>-1.3238135816000771</v>
      </c>
      <c r="R85" s="2">
        <v>0.22143438535388704</v>
      </c>
      <c r="S85" s="2">
        <v>0.22105578235543299</v>
      </c>
      <c r="T85" s="2">
        <v>1.4360740160920809</v>
      </c>
      <c r="U85" s="2">
        <v>-0.6826498863872581</v>
      </c>
      <c r="V85" s="2">
        <v>-0.86290765317469909</v>
      </c>
      <c r="W85" s="2">
        <v>0.1585875892424829</v>
      </c>
      <c r="X85" s="2">
        <v>-0.61083284402172111</v>
      </c>
      <c r="Y85" s="2">
        <v>-0.94915823849369918</v>
      </c>
      <c r="Z85" s="2">
        <v>-0.26277108375238012</v>
      </c>
      <c r="AA85" s="2">
        <v>0.39160495042067084</v>
      </c>
      <c r="AC85">
        <f t="shared" si="12"/>
        <v>-2.1032335684265019E-2</v>
      </c>
      <c r="AD85">
        <f t="shared" si="13"/>
        <v>-0.26840349977241351</v>
      </c>
      <c r="AE85">
        <f t="shared" si="14"/>
        <v>1.1870421503017046</v>
      </c>
      <c r="AF85">
        <f t="shared" si="15"/>
        <v>0.41649892495856178</v>
      </c>
      <c r="AG85">
        <f t="shared" si="16"/>
        <v>0.24737116408814852</v>
      </c>
      <c r="AH85">
        <f t="shared" si="17"/>
        <v>0.38038611522998345</v>
      </c>
      <c r="AI85" t="s">
        <v>122</v>
      </c>
    </row>
    <row r="86" spans="1:35" x14ac:dyDescent="0.2">
      <c r="A86" t="s">
        <v>123</v>
      </c>
      <c r="B86" s="1">
        <v>0.12178671622139414</v>
      </c>
      <c r="C86" s="1">
        <v>-0.43525694047981389</v>
      </c>
      <c r="D86" s="1">
        <v>-0.9365654310444399</v>
      </c>
      <c r="E86" s="1">
        <v>0.43866297684468386</v>
      </c>
      <c r="F86" s="1">
        <v>-0.1975681531143848</v>
      </c>
      <c r="G86" s="1">
        <v>0.5078507314253311</v>
      </c>
      <c r="H86" s="1">
        <v>0.31564143930701138</v>
      </c>
      <c r="I86" s="1">
        <v>-0.43616360581357561</v>
      </c>
      <c r="J86" s="1">
        <v>1.0441817275008693</v>
      </c>
      <c r="K86" s="1">
        <v>-0.25453747642424562</v>
      </c>
      <c r="L86" s="1">
        <v>0.46617971334265779</v>
      </c>
      <c r="M86" s="1">
        <v>-1.5113866074375146</v>
      </c>
      <c r="N86" s="2">
        <v>-1.1059917566468018</v>
      </c>
      <c r="O86" s="2">
        <v>-1.0171176525686452</v>
      </c>
      <c r="P86" s="2">
        <v>0.4748071021118041</v>
      </c>
      <c r="Q86" s="2">
        <v>0.20705393489604429</v>
      </c>
      <c r="R86" s="2">
        <v>0.96328382961745118</v>
      </c>
      <c r="S86" s="2">
        <v>-0.63843206073373482</v>
      </c>
      <c r="T86" s="2">
        <v>0.39787888206603417</v>
      </c>
      <c r="U86" s="2">
        <v>0.64085793377433431</v>
      </c>
      <c r="V86" s="2">
        <v>0.29142293806980413</v>
      </c>
      <c r="W86" s="2">
        <v>0.25756522609311427</v>
      </c>
      <c r="X86" s="2">
        <v>9.2520153186084197E-2</v>
      </c>
      <c r="Y86" s="2">
        <v>-0.5010618555464188</v>
      </c>
      <c r="Z86" s="2">
        <v>-1.1140033992815157</v>
      </c>
      <c r="AA86" s="2">
        <v>-1.2916141804684109</v>
      </c>
      <c r="AC86">
        <f t="shared" si="12"/>
        <v>-7.309790913933556E-2</v>
      </c>
      <c r="AD86">
        <f t="shared" si="13"/>
        <v>-0.16734506467363258</v>
      </c>
      <c r="AE86">
        <f t="shared" si="14"/>
        <v>1.0675082027161931</v>
      </c>
      <c r="AF86">
        <f t="shared" si="15"/>
        <v>0.74455834783144303</v>
      </c>
      <c r="AG86">
        <f t="shared" si="16"/>
        <v>9.4247155534297064E-2</v>
      </c>
      <c r="AH86">
        <f t="shared" si="17"/>
        <v>0.12810126278984141</v>
      </c>
      <c r="AI86" t="s">
        <v>123</v>
      </c>
    </row>
    <row r="87" spans="1:35" x14ac:dyDescent="0.2">
      <c r="A87" t="s">
        <v>124</v>
      </c>
      <c r="B87" s="1">
        <v>-0.61982544924012628</v>
      </c>
      <c r="C87" s="1">
        <v>-7.3283634129809316E-2</v>
      </c>
      <c r="D87" s="1">
        <v>-0.32746722952341828</v>
      </c>
      <c r="E87" s="1">
        <v>-0.28091984063357428</v>
      </c>
      <c r="F87" s="1">
        <v>-0.82211995179508635</v>
      </c>
      <c r="G87" s="1">
        <v>-1.2465297699191025</v>
      </c>
      <c r="H87" s="1">
        <v>-0.59517970978215318</v>
      </c>
      <c r="I87" s="1">
        <v>-0.72757509962051325</v>
      </c>
      <c r="J87" s="1">
        <v>-0.28731547094287924</v>
      </c>
      <c r="K87" s="1">
        <v>-0.34199990570474326</v>
      </c>
      <c r="L87" s="1">
        <v>9.9101127459407745E-2</v>
      </c>
      <c r="M87" s="1">
        <v>-1.2651001175404433</v>
      </c>
      <c r="N87" s="2">
        <v>-2.3868514951727087</v>
      </c>
      <c r="O87" s="2">
        <v>-0.47096655395921777</v>
      </c>
      <c r="P87" s="2">
        <v>-0.59684198109698983</v>
      </c>
      <c r="Q87" s="2">
        <v>1.6271126841546191E-2</v>
      </c>
      <c r="R87" s="2">
        <v>0.24675282147731659</v>
      </c>
      <c r="S87" s="2">
        <v>-5.3775049801228381E-2</v>
      </c>
      <c r="T87" s="2">
        <v>-0.27193842828211878</v>
      </c>
      <c r="U87" s="2">
        <v>-0.33165960238548681</v>
      </c>
      <c r="V87" s="2">
        <v>0.3225394819346713</v>
      </c>
      <c r="W87" s="2">
        <v>-1.0110518000725457</v>
      </c>
      <c r="X87" s="2">
        <v>-0.26506664859270179</v>
      </c>
      <c r="Y87" s="2">
        <v>4.1466920013073172E-2</v>
      </c>
      <c r="Z87" s="2">
        <v>-1.2216299897880898</v>
      </c>
      <c r="AA87" s="2">
        <v>-1.0761617648524209</v>
      </c>
      <c r="AC87">
        <f t="shared" si="12"/>
        <v>-0.5406845876143701</v>
      </c>
      <c r="AD87">
        <f t="shared" si="13"/>
        <v>-0.50420806883835012</v>
      </c>
      <c r="AE87">
        <f t="shared" si="14"/>
        <v>0.97503335711269934</v>
      </c>
      <c r="AF87">
        <f t="shared" si="15"/>
        <v>0.87501846651688597</v>
      </c>
      <c r="AG87">
        <f t="shared" si="16"/>
        <v>-3.6476518776019914E-2</v>
      </c>
      <c r="AH87">
        <f t="shared" si="17"/>
        <v>5.7982781467108092E-2</v>
      </c>
      <c r="AI87" t="s">
        <v>124</v>
      </c>
    </row>
    <row r="88" spans="1:35" x14ac:dyDescent="0.2">
      <c r="A88" t="s">
        <v>125</v>
      </c>
      <c r="B88" s="1">
        <v>-0.54814885447174033</v>
      </c>
      <c r="C88" s="1">
        <v>-0.4774886873654654</v>
      </c>
      <c r="D88" s="1">
        <v>-1.3083042031513763</v>
      </c>
      <c r="E88" s="1">
        <v>-0.32322669059438641</v>
      </c>
      <c r="F88" s="1">
        <v>-0.47633668600336537</v>
      </c>
      <c r="G88" s="1">
        <v>-3.0112546333334433E-2</v>
      </c>
      <c r="H88" s="1">
        <v>-5.3807188476477363E-2</v>
      </c>
      <c r="I88" s="1">
        <v>-0.48092053357477843</v>
      </c>
      <c r="J88" s="1">
        <v>0.31826446550731752</v>
      </c>
      <c r="K88" s="1">
        <v>-1.1001764935302074</v>
      </c>
      <c r="L88" s="1">
        <v>-3.7103771388993401E-2</v>
      </c>
      <c r="M88" s="1">
        <v>-0.51344649517901542</v>
      </c>
      <c r="N88" s="2">
        <v>-2.1176113195522448</v>
      </c>
      <c r="O88" s="2">
        <v>-0.83030391282258542</v>
      </c>
      <c r="P88" s="2">
        <v>-0.42467769133201683</v>
      </c>
      <c r="Q88" s="2">
        <v>-0.14645058752804285</v>
      </c>
      <c r="R88" s="2">
        <v>1.7075708883031504E-2</v>
      </c>
      <c r="S88" s="2">
        <v>-0.12777063506379749</v>
      </c>
      <c r="T88" s="2">
        <v>0.3208489723055552</v>
      </c>
      <c r="U88" s="2">
        <v>-0.35199699152561886</v>
      </c>
      <c r="V88" s="2">
        <v>0.6500481468519852</v>
      </c>
      <c r="W88" s="2">
        <v>-1.0467996630908059</v>
      </c>
      <c r="X88" s="2">
        <v>-0.26095656253675381</v>
      </c>
      <c r="Y88" s="2">
        <v>-0.76398187940927142</v>
      </c>
      <c r="Z88" s="2">
        <v>-0.65941510728232289</v>
      </c>
      <c r="AA88" s="2">
        <v>-6.8706157617734798E-2</v>
      </c>
      <c r="AC88">
        <f t="shared" si="12"/>
        <v>-0.41923397371348531</v>
      </c>
      <c r="AD88">
        <f t="shared" si="13"/>
        <v>-0.41504983426575875</v>
      </c>
      <c r="AE88">
        <f t="shared" si="14"/>
        <v>0.9971039771268706</v>
      </c>
      <c r="AF88">
        <f t="shared" si="15"/>
        <v>0.98511161084921695</v>
      </c>
      <c r="AG88">
        <f t="shared" si="16"/>
        <v>-4.1841394477263854E-3</v>
      </c>
      <c r="AH88">
        <f t="shared" si="17"/>
        <v>6.5145621623366881E-3</v>
      </c>
      <c r="AI88" t="s">
        <v>125</v>
      </c>
    </row>
    <row r="89" spans="1:35" x14ac:dyDescent="0.2">
      <c r="A89" t="s">
        <v>126</v>
      </c>
      <c r="B89" s="1">
        <v>-0.23129791835091595</v>
      </c>
      <c r="C89" s="1">
        <v>-1.3885567140300887</v>
      </c>
      <c r="D89" s="1">
        <v>0.87731202922598506</v>
      </c>
      <c r="E89" s="1">
        <v>-0.95347845113323892</v>
      </c>
      <c r="F89" s="1">
        <v>-0.53268687428279893</v>
      </c>
      <c r="G89" s="1">
        <v>-9.6195373151809482E-3</v>
      </c>
      <c r="H89" s="1">
        <v>0.1948689999969842</v>
      </c>
      <c r="I89" s="1">
        <v>-0.51559658552513277</v>
      </c>
      <c r="J89" s="1">
        <v>1.3135211273108314</v>
      </c>
      <c r="K89" s="1">
        <v>-0.97080709435797885</v>
      </c>
      <c r="L89" s="1">
        <v>0.94289967448663625</v>
      </c>
      <c r="M89" s="1">
        <v>-0.81377667491575278</v>
      </c>
      <c r="N89" s="2">
        <v>-1.3798705621242688</v>
      </c>
      <c r="O89" s="2">
        <v>-0.9182394649063168</v>
      </c>
      <c r="P89" s="2">
        <v>3.6766143574431309E-2</v>
      </c>
      <c r="Q89" s="2">
        <v>5.1984801068529207E-2</v>
      </c>
      <c r="R89" s="2">
        <v>-0.28742714702067662</v>
      </c>
      <c r="S89" s="2">
        <v>-0.28358657642974472</v>
      </c>
      <c r="T89" s="2">
        <v>-3.9583278073299755E-2</v>
      </c>
      <c r="U89" s="2">
        <v>0.52812242727444636</v>
      </c>
      <c r="V89" s="2">
        <v>0.4829837838174863</v>
      </c>
      <c r="W89" s="2">
        <v>-0.47074607567911475</v>
      </c>
      <c r="X89" s="2">
        <v>-0.60825266966647318</v>
      </c>
      <c r="Y89" s="2">
        <v>6.9972557223806242E-2</v>
      </c>
      <c r="Z89" s="2">
        <v>-0.47583812518644175</v>
      </c>
      <c r="AA89" s="2">
        <v>9.0116018428384237E-2</v>
      </c>
      <c r="AC89">
        <f t="shared" si="12"/>
        <v>-0.17393483490755424</v>
      </c>
      <c r="AD89">
        <f t="shared" si="13"/>
        <v>-0.22882844054994664</v>
      </c>
      <c r="AE89">
        <f t="shared" si="14"/>
        <v>1.0387824934332586</v>
      </c>
      <c r="AF89">
        <f t="shared" si="15"/>
        <v>0.8490559064360319</v>
      </c>
      <c r="AG89">
        <f t="shared" si="16"/>
        <v>5.4893605642392457E-2</v>
      </c>
      <c r="AH89">
        <f t="shared" si="17"/>
        <v>7.1063712515416697E-2</v>
      </c>
      <c r="AI89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621F-69F6-EE44-A33F-567D82E76E78}">
  <dimension ref="A1:Y89"/>
  <sheetViews>
    <sheetView workbookViewId="0"/>
  </sheetViews>
  <sheetFormatPr baseColWidth="10" defaultRowHeight="16" x14ac:dyDescent="0.2"/>
  <cols>
    <col min="1" max="1" width="21" bestFit="1" customWidth="1"/>
    <col min="2" max="12" width="12.83203125" bestFit="1" customWidth="1"/>
    <col min="14" max="15" width="12.83203125" bestFit="1" customWidth="1"/>
    <col min="16" max="17" width="12.1640625" bestFit="1" customWidth="1"/>
    <col min="18" max="18" width="12.83203125" bestFit="1" customWidth="1"/>
    <col min="19" max="19" width="12.1640625" bestFit="1" customWidth="1"/>
    <col min="20" max="20" width="21" bestFit="1" customWidth="1"/>
    <col min="23" max="23" width="21" bestFit="1" customWidth="1"/>
    <col min="24" max="24" width="12.83203125" bestFit="1" customWidth="1"/>
    <col min="25" max="25" width="12.1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13</v>
      </c>
      <c r="K1" t="s">
        <v>14</v>
      </c>
      <c r="L1" t="s">
        <v>16</v>
      </c>
      <c r="W1" s="3" t="s">
        <v>131</v>
      </c>
      <c r="X1" s="3" t="s">
        <v>129</v>
      </c>
      <c r="Y1" s="3" t="s">
        <v>130</v>
      </c>
    </row>
    <row r="2" spans="1:25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W2" t="s">
        <v>103</v>
      </c>
      <c r="X2">
        <v>-0.98267468341663178</v>
      </c>
      <c r="Y2">
        <v>1.6667958103746092</v>
      </c>
    </row>
    <row r="3" spans="1:25" x14ac:dyDescent="0.2">
      <c r="A3" t="s">
        <v>27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W3" t="s">
        <v>80</v>
      </c>
      <c r="X3">
        <v>2.1023411498029674</v>
      </c>
      <c r="Y3">
        <v>1.5192377165473929</v>
      </c>
    </row>
    <row r="4" spans="1:25" x14ac:dyDescent="0.2">
      <c r="A4" t="s">
        <v>28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W4" t="s">
        <v>75</v>
      </c>
      <c r="X4">
        <v>1.0391844092169935</v>
      </c>
      <c r="Y4">
        <v>1.4644125731802933</v>
      </c>
    </row>
    <row r="5" spans="1:25" x14ac:dyDescent="0.2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34</v>
      </c>
      <c r="I5" t="s">
        <v>34</v>
      </c>
      <c r="J5" t="s">
        <v>33</v>
      </c>
      <c r="K5" t="s">
        <v>33</v>
      </c>
      <c r="L5" t="s">
        <v>34</v>
      </c>
      <c r="W5" t="s">
        <v>59</v>
      </c>
      <c r="X5">
        <v>-1.496019497303047</v>
      </c>
      <c r="Y5">
        <v>1.1998107082952314</v>
      </c>
    </row>
    <row r="6" spans="1:25" x14ac:dyDescent="0.2">
      <c r="A6" t="s">
        <v>35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W6" t="s">
        <v>65</v>
      </c>
      <c r="X6">
        <v>-0.8110021762761731</v>
      </c>
      <c r="Y6">
        <v>1.1810067146498189</v>
      </c>
    </row>
    <row r="7" spans="1:25" x14ac:dyDescent="0.2">
      <c r="A7" t="s">
        <v>38</v>
      </c>
      <c r="B7">
        <v>0</v>
      </c>
      <c r="C7" t="s">
        <v>39</v>
      </c>
      <c r="D7">
        <v>0</v>
      </c>
      <c r="E7">
        <v>0</v>
      </c>
      <c r="F7">
        <v>0</v>
      </c>
      <c r="G7">
        <v>0</v>
      </c>
      <c r="H7" t="s">
        <v>40</v>
      </c>
      <c r="I7" t="s">
        <v>40</v>
      </c>
      <c r="J7">
        <v>0</v>
      </c>
      <c r="K7">
        <v>0</v>
      </c>
      <c r="L7" t="s">
        <v>40</v>
      </c>
      <c r="W7" t="s">
        <v>108</v>
      </c>
      <c r="X7">
        <v>-0.87699274428995222</v>
      </c>
      <c r="Y7">
        <v>1.0968582872730059</v>
      </c>
    </row>
    <row r="8" spans="1:25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W8" t="s">
        <v>93</v>
      </c>
      <c r="X8">
        <v>1.1503441493435689</v>
      </c>
      <c r="Y8">
        <v>1.0080410680161775</v>
      </c>
    </row>
    <row r="9" spans="1:25" x14ac:dyDescent="0.2">
      <c r="A9" t="s">
        <v>43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W9" t="s">
        <v>76</v>
      </c>
      <c r="X9">
        <v>1.590792300090851</v>
      </c>
      <c r="Y9">
        <v>0.98028979309622533</v>
      </c>
    </row>
    <row r="10" spans="1:25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W10" t="s">
        <v>86</v>
      </c>
      <c r="X10">
        <v>0.70766638884394728</v>
      </c>
      <c r="Y10">
        <v>0.95395910681288409</v>
      </c>
    </row>
    <row r="11" spans="1:25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N11" s="3" t="s">
        <v>241</v>
      </c>
      <c r="O11" s="3" t="s">
        <v>243</v>
      </c>
      <c r="P11" s="3" t="s">
        <v>127</v>
      </c>
      <c r="Q11" s="3" t="s">
        <v>128</v>
      </c>
      <c r="R11" s="3" t="s">
        <v>129</v>
      </c>
      <c r="S11" s="3" t="s">
        <v>130</v>
      </c>
      <c r="T11" s="3" t="s">
        <v>131</v>
      </c>
      <c r="W11" t="s">
        <v>82</v>
      </c>
      <c r="X11">
        <v>-1.8544536832954657</v>
      </c>
      <c r="Y11">
        <v>0.88388964749186927</v>
      </c>
    </row>
    <row r="12" spans="1:25" x14ac:dyDescent="0.2">
      <c r="A12" t="s">
        <v>48</v>
      </c>
      <c r="B12" s="1">
        <v>-0.25201390473310487</v>
      </c>
      <c r="C12" s="1">
        <v>0.4645038759720681</v>
      </c>
      <c r="D12" s="1">
        <v>9.1265746811821178E-3</v>
      </c>
      <c r="E12" s="1">
        <v>1.807264633588292</v>
      </c>
      <c r="F12" s="1">
        <v>0.16051533998753584</v>
      </c>
      <c r="G12" s="1">
        <v>-0.22098683199249056</v>
      </c>
      <c r="H12" s="2">
        <v>-1.9429058627464496E-2</v>
      </c>
      <c r="I12" s="2">
        <v>-0.6347889088668065</v>
      </c>
      <c r="J12" s="2">
        <v>1.2847607388582964</v>
      </c>
      <c r="K12" s="2">
        <v>0.28229273072215449</v>
      </c>
      <c r="L12" s="2">
        <v>-0.33629203110244854</v>
      </c>
      <c r="N12">
        <f t="shared" ref="N12:N43" si="0">AVERAGE(B12:G12)</f>
        <v>0.32806828125058046</v>
      </c>
      <c r="O12">
        <f t="shared" ref="O12:O43" si="1">AVERAGE(H12:L12)</f>
        <v>0.1153086941967463</v>
      </c>
      <c r="P12">
        <f t="shared" ref="P12:P43" si="2">2^(N12 - O12)</f>
        <v>1.1589028144445137</v>
      </c>
      <c r="Q12">
        <f t="shared" ref="Q12:Q43" si="3">_xlfn.T.TEST(B12:G12,H12:L12, 2, 3)</f>
        <v>0.65233753260867777</v>
      </c>
      <c r="R12">
        <f t="shared" ref="R12:R43" si="4">LOG(P12,2)</f>
        <v>0.21275958705383421</v>
      </c>
      <c r="S12">
        <f t="shared" ref="S12:S43" si="5">-LOG(Q12,10)</f>
        <v>0.18552763338014847</v>
      </c>
      <c r="T12" t="s">
        <v>48</v>
      </c>
      <c r="W12" t="s">
        <v>54</v>
      </c>
      <c r="X12">
        <v>-1.6942132889770265</v>
      </c>
      <c r="Y12">
        <v>0.85920313334277909</v>
      </c>
    </row>
    <row r="13" spans="1:25" x14ac:dyDescent="0.2">
      <c r="A13" t="s">
        <v>49</v>
      </c>
      <c r="B13" s="1">
        <v>-0.50624482820981997</v>
      </c>
      <c r="C13" s="1">
        <v>-9.525878594462317E-2</v>
      </c>
      <c r="D13" s="1">
        <v>2.2430188924617989</v>
      </c>
      <c r="E13" s="1">
        <v>1.798544758108179</v>
      </c>
      <c r="F13" s="1">
        <v>1.1174707091011284</v>
      </c>
      <c r="G13" s="1">
        <v>2.0004790492655604</v>
      </c>
      <c r="H13" s="2">
        <v>0.30993260201716122</v>
      </c>
      <c r="I13" s="2">
        <v>0.20733219649833423</v>
      </c>
      <c r="J13" s="2">
        <v>1.6841997321984654</v>
      </c>
      <c r="K13" s="2">
        <v>1.431990683286485</v>
      </c>
      <c r="L13" s="2">
        <v>0.62847090022166618</v>
      </c>
      <c r="N13">
        <f t="shared" si="0"/>
        <v>1.093001632463704</v>
      </c>
      <c r="O13">
        <f t="shared" si="1"/>
        <v>0.85238522284442231</v>
      </c>
      <c r="P13">
        <f t="shared" si="2"/>
        <v>1.1814973632248602</v>
      </c>
      <c r="Q13">
        <f t="shared" si="3"/>
        <v>0.67671722510625498</v>
      </c>
      <c r="R13">
        <f t="shared" si="4"/>
        <v>0.24061640961928166</v>
      </c>
      <c r="S13">
        <f t="shared" si="5"/>
        <v>0.16959276887874689</v>
      </c>
      <c r="T13" t="s">
        <v>49</v>
      </c>
      <c r="W13" t="s">
        <v>98</v>
      </c>
      <c r="X13">
        <v>-0.69726023329854458</v>
      </c>
      <c r="Y13">
        <v>0.85539280187022526</v>
      </c>
    </row>
    <row r="14" spans="1:25" x14ac:dyDescent="0.2">
      <c r="A14" t="s">
        <v>50</v>
      </c>
      <c r="B14" s="1">
        <v>1.9043849694734041</v>
      </c>
      <c r="C14" s="1">
        <v>1.3202716453276842</v>
      </c>
      <c r="D14" s="1">
        <v>-1.8997372748528258</v>
      </c>
      <c r="E14" s="1">
        <v>0.45436149569926298</v>
      </c>
      <c r="F14" s="1">
        <v>-0.5779481436070053</v>
      </c>
      <c r="G14" s="1">
        <v>1.8401950400139917</v>
      </c>
      <c r="H14" s="2">
        <v>-2.1203450730245477</v>
      </c>
      <c r="I14" s="2">
        <v>-1.0270611416636917</v>
      </c>
      <c r="J14" s="2">
        <v>2.5666805647524922</v>
      </c>
      <c r="K14" s="2">
        <v>3.0964709338273622</v>
      </c>
      <c r="L14" s="2">
        <v>-2.1375547909854573</v>
      </c>
      <c r="N14">
        <f t="shared" si="0"/>
        <v>0.50692128867575192</v>
      </c>
      <c r="O14">
        <f t="shared" si="1"/>
        <v>7.5638098581231536E-2</v>
      </c>
      <c r="P14">
        <f t="shared" si="2"/>
        <v>1.3484323928123565</v>
      </c>
      <c r="Q14">
        <f t="shared" si="3"/>
        <v>0.75111016719264245</v>
      </c>
      <c r="R14">
        <f t="shared" si="4"/>
        <v>0.43128319009452049</v>
      </c>
      <c r="S14">
        <f t="shared" si="5"/>
        <v>0.12429635927425092</v>
      </c>
      <c r="T14" t="s">
        <v>50</v>
      </c>
      <c r="W14" t="s">
        <v>91</v>
      </c>
      <c r="X14">
        <v>-0.43907472726878732</v>
      </c>
      <c r="Y14">
        <v>0.77772745028427848</v>
      </c>
    </row>
    <row r="15" spans="1:25" x14ac:dyDescent="0.2">
      <c r="A15" t="s">
        <v>51</v>
      </c>
      <c r="B15" s="1">
        <v>-0.97693875443788025</v>
      </c>
      <c r="C15" s="1">
        <v>-1.3344010864840004</v>
      </c>
      <c r="D15" s="1">
        <v>-1.0543265504919503</v>
      </c>
      <c r="E15" s="1">
        <v>0.50247450003732963</v>
      </c>
      <c r="F15" s="1">
        <v>-1.1923556244501521</v>
      </c>
      <c r="G15" s="1">
        <v>0.71771134845407136</v>
      </c>
      <c r="H15" s="2">
        <v>-1.4878653075285806</v>
      </c>
      <c r="I15" s="2">
        <v>-0.98744240479753564</v>
      </c>
      <c r="J15" s="2">
        <v>-0.13550463385850348</v>
      </c>
      <c r="K15" s="2">
        <v>-0.36906809074296365</v>
      </c>
      <c r="L15" s="2">
        <v>0.22279608313125032</v>
      </c>
      <c r="N15">
        <f t="shared" si="0"/>
        <v>-0.55630602789543027</v>
      </c>
      <c r="O15">
        <f t="shared" si="1"/>
        <v>-0.55141687075926671</v>
      </c>
      <c r="P15">
        <f t="shared" si="2"/>
        <v>0.99661683037468685</v>
      </c>
      <c r="Q15">
        <f t="shared" si="3"/>
        <v>0.99214005965693441</v>
      </c>
      <c r="R15">
        <f t="shared" si="4"/>
        <v>-4.8891571361636427E-3</v>
      </c>
      <c r="S15">
        <f t="shared" si="5"/>
        <v>3.4270144965455598E-3</v>
      </c>
      <c r="T15" t="s">
        <v>51</v>
      </c>
      <c r="W15" t="s">
        <v>66</v>
      </c>
      <c r="X15">
        <v>0.79121445313461214</v>
      </c>
      <c r="Y15">
        <v>0.75035485505028254</v>
      </c>
    </row>
    <row r="16" spans="1:25" x14ac:dyDescent="0.2">
      <c r="A16" t="s">
        <v>52</v>
      </c>
      <c r="B16" s="1">
        <v>-1.6385988717449154</v>
      </c>
      <c r="C16" s="1">
        <v>0.6398348580532417</v>
      </c>
      <c r="D16" s="1">
        <v>0.66658092615734177</v>
      </c>
      <c r="E16" s="1">
        <v>0.61268936103251181</v>
      </c>
      <c r="F16" s="1">
        <v>-6.4097238694802161E-2</v>
      </c>
      <c r="G16" s="1">
        <v>-0.18460409515939624</v>
      </c>
      <c r="H16" s="2">
        <v>1.3455657771795733</v>
      </c>
      <c r="I16" s="2">
        <v>-0.46248835573024671</v>
      </c>
      <c r="J16" s="2">
        <v>0.29488271600260996</v>
      </c>
      <c r="K16" s="2">
        <v>1.6093867971199733</v>
      </c>
      <c r="L16" s="2">
        <v>0.80722086327607423</v>
      </c>
      <c r="N16">
        <f t="shared" si="0"/>
        <v>5.3008232739969185E-3</v>
      </c>
      <c r="O16">
        <f t="shared" si="1"/>
        <v>0.71891355956959679</v>
      </c>
      <c r="P16">
        <f t="shared" si="2"/>
        <v>0.60979121178001838</v>
      </c>
      <c r="Q16">
        <f t="shared" si="3"/>
        <v>0.20362795357969068</v>
      </c>
      <c r="R16">
        <f t="shared" si="4"/>
        <v>-0.71361273629560007</v>
      </c>
      <c r="S16">
        <f t="shared" si="5"/>
        <v>0.69116260328965307</v>
      </c>
      <c r="T16" t="s">
        <v>52</v>
      </c>
      <c r="W16" t="s">
        <v>125</v>
      </c>
      <c r="X16">
        <v>0.67353779821561788</v>
      </c>
      <c r="Y16">
        <v>0.7172201084147718</v>
      </c>
    </row>
    <row r="17" spans="1:25" x14ac:dyDescent="0.2">
      <c r="A17" t="s">
        <v>53</v>
      </c>
      <c r="B17" s="1">
        <v>-2.1213883639350146</v>
      </c>
      <c r="C17" s="1">
        <v>-0.93441545464941911</v>
      </c>
      <c r="D17" s="1">
        <v>1.2337204294753654</v>
      </c>
      <c r="E17" s="1">
        <v>1.1666728089577751</v>
      </c>
      <c r="F17" s="1">
        <v>-2.7137358203857698</v>
      </c>
      <c r="G17" s="1">
        <v>-1.1476639298510745</v>
      </c>
      <c r="H17" s="2">
        <v>-0.32754460533794549</v>
      </c>
      <c r="I17" s="2">
        <v>-2.8881708272042248</v>
      </c>
      <c r="J17" s="2">
        <v>-1.8083937222458546</v>
      </c>
      <c r="K17" s="2">
        <v>-1.5999322936878444</v>
      </c>
      <c r="L17" s="2">
        <v>-1.6296012321480247</v>
      </c>
      <c r="N17">
        <f t="shared" si="0"/>
        <v>-0.75280172173135629</v>
      </c>
      <c r="O17">
        <f t="shared" si="1"/>
        <v>-1.6507285361247788</v>
      </c>
      <c r="P17">
        <f t="shared" si="2"/>
        <v>1.8633863296106881</v>
      </c>
      <c r="Q17">
        <f t="shared" si="3"/>
        <v>0.28596499632071454</v>
      </c>
      <c r="R17">
        <f t="shared" si="4"/>
        <v>0.89792681439342237</v>
      </c>
      <c r="S17">
        <f t="shared" si="5"/>
        <v>0.54368712363711136</v>
      </c>
      <c r="T17" t="s">
        <v>53</v>
      </c>
      <c r="W17" t="s">
        <v>92</v>
      </c>
      <c r="X17">
        <v>0.74815142655511191</v>
      </c>
      <c r="Y17">
        <v>0.70503459289078507</v>
      </c>
    </row>
    <row r="18" spans="1:25" x14ac:dyDescent="0.2">
      <c r="A18" t="s">
        <v>54</v>
      </c>
      <c r="B18" s="1">
        <v>-0.22250130841070892</v>
      </c>
      <c r="C18" s="1">
        <v>-0.10515506604620095</v>
      </c>
      <c r="D18" s="1">
        <v>-1.2155847588427857</v>
      </c>
      <c r="E18" s="1">
        <v>0.49063497331945877</v>
      </c>
      <c r="F18" s="1">
        <v>-0.4948378604785888</v>
      </c>
      <c r="G18" s="1">
        <v>-0.76963302397071987</v>
      </c>
      <c r="H18" s="2">
        <v>4.78000644386315</v>
      </c>
      <c r="I18" s="2">
        <v>-0.58335807372498927</v>
      </c>
      <c r="J18" s="2">
        <v>0.41753468524175774</v>
      </c>
      <c r="K18" s="2">
        <v>0.93722257638591167</v>
      </c>
      <c r="L18" s="2">
        <v>0.98876327609467973</v>
      </c>
      <c r="N18">
        <f t="shared" si="0"/>
        <v>-0.38617950740492429</v>
      </c>
      <c r="O18">
        <f t="shared" si="1"/>
        <v>1.3080337815721019</v>
      </c>
      <c r="P18">
        <f t="shared" si="2"/>
        <v>0.30902312567222079</v>
      </c>
      <c r="Q18">
        <f t="shared" si="3"/>
        <v>0.13829193922891972</v>
      </c>
      <c r="R18">
        <f t="shared" si="4"/>
        <v>-1.6942132889770265</v>
      </c>
      <c r="S18">
        <f t="shared" si="5"/>
        <v>0.85920313334277909</v>
      </c>
      <c r="T18" t="s">
        <v>54</v>
      </c>
      <c r="W18" t="s">
        <v>52</v>
      </c>
      <c r="X18">
        <v>-0.71361273629560007</v>
      </c>
      <c r="Y18">
        <v>0.69116260328965307</v>
      </c>
    </row>
    <row r="19" spans="1:25" x14ac:dyDescent="0.2">
      <c r="A19" t="s">
        <v>55</v>
      </c>
      <c r="B19" s="1">
        <v>0.8146996475401852</v>
      </c>
      <c r="C19" s="1">
        <v>-0.10655164752400884</v>
      </c>
      <c r="D19" s="1">
        <v>-0.38385834869241475</v>
      </c>
      <c r="E19" s="1">
        <v>-0.69467694545313274</v>
      </c>
      <c r="F19" s="1">
        <v>1.0691870990784509</v>
      </c>
      <c r="G19" s="1">
        <v>-0.62822124577728822</v>
      </c>
      <c r="H19" s="2">
        <v>1.4746140415851774</v>
      </c>
      <c r="I19" s="2">
        <v>-2.0603180377431425</v>
      </c>
      <c r="J19" s="2">
        <v>4.6144943595692323E-2</v>
      </c>
      <c r="K19" s="2">
        <v>1.5061614821398774</v>
      </c>
      <c r="L19" s="2">
        <v>-0.33763687891463762</v>
      </c>
      <c r="N19">
        <f t="shared" si="0"/>
        <v>1.1763093195298594E-2</v>
      </c>
      <c r="O19">
        <f t="shared" si="1"/>
        <v>0.12579311013259339</v>
      </c>
      <c r="P19">
        <f t="shared" si="2"/>
        <v>0.92400334728953859</v>
      </c>
      <c r="Q19">
        <f t="shared" si="3"/>
        <v>0.88103350592107033</v>
      </c>
      <c r="R19">
        <f t="shared" si="4"/>
        <v>-0.11403001693729492</v>
      </c>
      <c r="S19">
        <f t="shared" si="5"/>
        <v>5.500757494784872E-2</v>
      </c>
      <c r="T19" t="s">
        <v>55</v>
      </c>
      <c r="W19" t="s">
        <v>126</v>
      </c>
      <c r="X19">
        <v>0.61229272771758037</v>
      </c>
      <c r="Y19">
        <v>0.67190981697522956</v>
      </c>
    </row>
    <row r="20" spans="1:25" x14ac:dyDescent="0.2">
      <c r="A20" t="s">
        <v>56</v>
      </c>
      <c r="B20" s="1">
        <v>-1.1497805371986767</v>
      </c>
      <c r="C20" s="1">
        <v>-1.8282737117222436</v>
      </c>
      <c r="D20" s="1">
        <v>-2.1360205920517039</v>
      </c>
      <c r="E20" s="1">
        <v>0.24360269045729732</v>
      </c>
      <c r="F20" s="1">
        <v>-1.2623345058991053</v>
      </c>
      <c r="G20" s="1">
        <v>-1.1901239993646784E-2</v>
      </c>
      <c r="H20" s="2">
        <v>1.1405297701092052</v>
      </c>
      <c r="I20" s="2">
        <v>-2.6076806709774756</v>
      </c>
      <c r="J20" s="2">
        <v>0.77042234090926631</v>
      </c>
      <c r="K20" s="2">
        <v>1.2522772792393164</v>
      </c>
      <c r="L20" s="2">
        <v>-0.41972902798918665</v>
      </c>
      <c r="N20">
        <f t="shared" si="0"/>
        <v>-1.02411798273468</v>
      </c>
      <c r="O20">
        <f t="shared" si="1"/>
        <v>2.7163938258225141E-2</v>
      </c>
      <c r="P20">
        <f t="shared" si="2"/>
        <v>0.48253920891249008</v>
      </c>
      <c r="Q20">
        <f t="shared" si="3"/>
        <v>0.24597711668180458</v>
      </c>
      <c r="R20">
        <f t="shared" si="4"/>
        <v>-1.0512819209929052</v>
      </c>
      <c r="S20">
        <f t="shared" si="5"/>
        <v>0.60910529355140774</v>
      </c>
      <c r="T20" t="s">
        <v>56</v>
      </c>
      <c r="W20" t="s">
        <v>90</v>
      </c>
      <c r="X20">
        <v>0.39233143932441811</v>
      </c>
      <c r="Y20">
        <v>0.64325880817228553</v>
      </c>
    </row>
    <row r="21" spans="1:25" x14ac:dyDescent="0.2">
      <c r="A21" t="s">
        <v>57</v>
      </c>
      <c r="B21" s="1">
        <v>0.46132316311846755</v>
      </c>
      <c r="C21" s="1">
        <v>1.0337950325396676</v>
      </c>
      <c r="D21" s="1">
        <v>0.48567530955580773</v>
      </c>
      <c r="E21" s="1">
        <v>3.3293872095388872</v>
      </c>
      <c r="F21" s="1">
        <v>-0.29860003142312447</v>
      </c>
      <c r="G21" s="1">
        <v>1.6478709883845848</v>
      </c>
      <c r="H21" s="2">
        <v>1.2493844491733408</v>
      </c>
      <c r="I21" s="2">
        <v>0.45621840491293852</v>
      </c>
      <c r="J21" s="2">
        <v>2.6548500317653589</v>
      </c>
      <c r="K21" s="2">
        <v>1.8453020248152789</v>
      </c>
      <c r="L21" s="2">
        <v>4.2882961859225854E-2</v>
      </c>
      <c r="N21">
        <f t="shared" si="0"/>
        <v>1.1099086119523818</v>
      </c>
      <c r="O21">
        <f t="shared" si="1"/>
        <v>1.2497275745052285</v>
      </c>
      <c r="P21">
        <f t="shared" si="2"/>
        <v>0.90763304304479608</v>
      </c>
      <c r="Q21">
        <f t="shared" si="3"/>
        <v>0.8458050068928763</v>
      </c>
      <c r="R21">
        <f t="shared" si="4"/>
        <v>-0.13981896255284673</v>
      </c>
      <c r="S21">
        <f t="shared" si="5"/>
        <v>7.2729748298232172E-2</v>
      </c>
      <c r="T21" t="s">
        <v>57</v>
      </c>
      <c r="W21" t="s">
        <v>85</v>
      </c>
      <c r="X21">
        <v>-0.89289603274508722</v>
      </c>
      <c r="Y21">
        <v>0.62254503515206483</v>
      </c>
    </row>
    <row r="22" spans="1:25" x14ac:dyDescent="0.2">
      <c r="A22" t="s">
        <v>58</v>
      </c>
      <c r="B22" s="1">
        <v>-0.97562154378580646</v>
      </c>
      <c r="C22" s="1">
        <v>-0.71778019224212453</v>
      </c>
      <c r="D22" s="1">
        <v>-1.2630138734603724</v>
      </c>
      <c r="E22" s="1">
        <v>0.48660268277207053</v>
      </c>
      <c r="F22" s="1">
        <v>-0.84800341166739002</v>
      </c>
      <c r="G22" s="1">
        <v>-1.2622861119610966</v>
      </c>
      <c r="H22" s="2">
        <v>-1.3651853563681948</v>
      </c>
      <c r="I22" s="2">
        <v>-0.33742127241029396</v>
      </c>
      <c r="J22" s="2">
        <v>-0.47193776968933998</v>
      </c>
      <c r="K22" s="2">
        <v>-2.1471429842849048</v>
      </c>
      <c r="L22" s="2">
        <v>0.14174405554989492</v>
      </c>
      <c r="N22">
        <f t="shared" si="0"/>
        <v>-0.76335040839078661</v>
      </c>
      <c r="O22">
        <f t="shared" si="1"/>
        <v>-0.83598866544056771</v>
      </c>
      <c r="P22">
        <f t="shared" si="2"/>
        <v>1.0516380572526667</v>
      </c>
      <c r="Q22">
        <f t="shared" si="3"/>
        <v>0.88562585637432101</v>
      </c>
      <c r="R22">
        <f t="shared" si="4"/>
        <v>7.2638257049781149E-2</v>
      </c>
      <c r="S22">
        <f t="shared" si="5"/>
        <v>5.2749712458189435E-2</v>
      </c>
      <c r="T22" t="s">
        <v>58</v>
      </c>
      <c r="W22" t="s">
        <v>56</v>
      </c>
      <c r="X22">
        <v>-1.0512819209929052</v>
      </c>
      <c r="Y22">
        <v>0.60910529355140774</v>
      </c>
    </row>
    <row r="23" spans="1:25" x14ac:dyDescent="0.2">
      <c r="A23" t="s">
        <v>59</v>
      </c>
      <c r="B23" s="1">
        <v>0.87210536463438915</v>
      </c>
      <c r="C23" s="1">
        <v>1.6554142181995051</v>
      </c>
      <c r="D23" s="1">
        <v>0.74524889328669119</v>
      </c>
      <c r="E23" s="1">
        <v>1.6092763633008051</v>
      </c>
      <c r="F23" s="1">
        <v>1.7866035801382845</v>
      </c>
      <c r="G23" s="1">
        <v>1.9769166131459679</v>
      </c>
      <c r="H23" s="2">
        <v>4.7095331234812097</v>
      </c>
      <c r="I23" s="2">
        <v>3.4518096959780493</v>
      </c>
      <c r="J23" s="2">
        <v>1.3934313126766098</v>
      </c>
      <c r="K23" s="2">
        <v>3.2560631978262995</v>
      </c>
      <c r="L23" s="2">
        <v>1.8738976838077697</v>
      </c>
      <c r="N23">
        <f t="shared" si="0"/>
        <v>1.4409275054509407</v>
      </c>
      <c r="O23">
        <f t="shared" si="1"/>
        <v>2.9369470027539877</v>
      </c>
      <c r="P23">
        <f t="shared" si="2"/>
        <v>0.35453021758863762</v>
      </c>
      <c r="Q23">
        <f t="shared" si="3"/>
        <v>6.312324136524157E-2</v>
      </c>
      <c r="R23">
        <f t="shared" si="4"/>
        <v>-1.496019497303047</v>
      </c>
      <c r="S23">
        <f t="shared" si="5"/>
        <v>1.1998107082952314</v>
      </c>
      <c r="T23" t="s">
        <v>59</v>
      </c>
      <c r="W23" t="s">
        <v>114</v>
      </c>
      <c r="X23">
        <v>0.45651964372657639</v>
      </c>
      <c r="Y23">
        <v>0.60526260849843194</v>
      </c>
    </row>
    <row r="24" spans="1:25" x14ac:dyDescent="0.2">
      <c r="A24" t="s">
        <v>60</v>
      </c>
      <c r="B24" s="1">
        <v>1.7335572530422305</v>
      </c>
      <c r="C24" s="1">
        <v>1.7215032048498604</v>
      </c>
      <c r="D24" s="1">
        <v>6.9552884604986487E-2</v>
      </c>
      <c r="E24" s="1">
        <v>2.5470396613870205</v>
      </c>
      <c r="F24" s="1">
        <v>1.4689380073346303</v>
      </c>
      <c r="G24" s="1">
        <v>2.046628037740029</v>
      </c>
      <c r="H24" s="2">
        <v>0.49262714465329971</v>
      </c>
      <c r="I24" s="2">
        <v>1.0353975147724397</v>
      </c>
      <c r="J24" s="2">
        <v>2.3053911898498898</v>
      </c>
      <c r="K24" s="2">
        <v>2.2867190854706099</v>
      </c>
      <c r="L24" s="2">
        <v>0.6339886946747707</v>
      </c>
      <c r="N24">
        <f t="shared" si="0"/>
        <v>1.5978698414931263</v>
      </c>
      <c r="O24">
        <f t="shared" si="1"/>
        <v>1.3508247258842019</v>
      </c>
      <c r="P24">
        <f t="shared" si="2"/>
        <v>1.1867739095817145</v>
      </c>
      <c r="Q24">
        <f t="shared" si="3"/>
        <v>0.64842528582212444</v>
      </c>
      <c r="R24">
        <f t="shared" si="4"/>
        <v>0.24704511560892442</v>
      </c>
      <c r="S24">
        <f t="shared" si="5"/>
        <v>0.18814005785976487</v>
      </c>
      <c r="T24" t="s">
        <v>60</v>
      </c>
      <c r="W24" t="s">
        <v>83</v>
      </c>
      <c r="X24">
        <v>-0.50681425015733683</v>
      </c>
      <c r="Y24">
        <v>0.58201854529577224</v>
      </c>
    </row>
    <row r="25" spans="1:25" x14ac:dyDescent="0.2">
      <c r="A25" t="s">
        <v>61</v>
      </c>
      <c r="B25" s="1">
        <v>0.47961480230539816</v>
      </c>
      <c r="C25" s="1">
        <v>0.78349882073075916</v>
      </c>
      <c r="D25" s="1">
        <v>-0.16818050597870582</v>
      </c>
      <c r="E25" s="1">
        <v>1.3275755468619861</v>
      </c>
      <c r="F25" s="1">
        <v>0.74756869540932713</v>
      </c>
      <c r="G25" s="1">
        <v>-1.7303080183464941</v>
      </c>
      <c r="H25" s="2">
        <v>-0.55254890691894576</v>
      </c>
      <c r="I25" s="2">
        <v>0.39446668814034525</v>
      </c>
      <c r="J25" s="2">
        <v>1.9449103358263164</v>
      </c>
      <c r="K25" s="2">
        <v>0.33247828901620724</v>
      </c>
      <c r="L25" s="2">
        <v>-0.2956753149543932</v>
      </c>
      <c r="N25">
        <f t="shared" si="0"/>
        <v>0.23996155683037843</v>
      </c>
      <c r="O25">
        <f t="shared" si="1"/>
        <v>0.36472621822190593</v>
      </c>
      <c r="P25">
        <f t="shared" si="2"/>
        <v>0.91715364104203079</v>
      </c>
      <c r="Q25">
        <f t="shared" si="3"/>
        <v>0.84486309894436418</v>
      </c>
      <c r="R25">
        <f t="shared" si="4"/>
        <v>-0.12476466139152745</v>
      </c>
      <c r="S25">
        <f t="shared" si="5"/>
        <v>7.3213658138856524E-2</v>
      </c>
      <c r="T25" t="s">
        <v>61</v>
      </c>
      <c r="W25" t="s">
        <v>96</v>
      </c>
      <c r="X25">
        <v>-1.2762273008816065</v>
      </c>
      <c r="Y25">
        <v>0.58073346448808394</v>
      </c>
    </row>
    <row r="26" spans="1:25" x14ac:dyDescent="0.2">
      <c r="A26" t="s">
        <v>62</v>
      </c>
      <c r="B26" s="1">
        <v>0.7495643397834294</v>
      </c>
      <c r="C26" s="1">
        <v>1.5111611179252513</v>
      </c>
      <c r="D26" s="1">
        <v>3.7214266101063815</v>
      </c>
      <c r="E26" s="1">
        <v>4.9522390218776513</v>
      </c>
      <c r="F26" s="1">
        <v>0.69143811440594405</v>
      </c>
      <c r="G26" s="1">
        <v>1.7431189646157996</v>
      </c>
      <c r="H26" s="2">
        <v>1.7557576041714298</v>
      </c>
      <c r="I26" s="2">
        <v>1.8573555261824399</v>
      </c>
      <c r="J26" s="2">
        <v>2.3863432926353698</v>
      </c>
      <c r="K26" s="2">
        <v>-0.69089706562692321</v>
      </c>
      <c r="L26" s="2">
        <v>1.5649658412096996</v>
      </c>
      <c r="N26">
        <f t="shared" si="0"/>
        <v>2.228158028119076</v>
      </c>
      <c r="O26">
        <f t="shared" si="1"/>
        <v>1.3747050397144034</v>
      </c>
      <c r="P26">
        <f t="shared" si="2"/>
        <v>1.8068202504656186</v>
      </c>
      <c r="Q26">
        <f t="shared" si="3"/>
        <v>0.36077664846965851</v>
      </c>
      <c r="R26">
        <f t="shared" si="4"/>
        <v>0.85345298840467265</v>
      </c>
      <c r="S26">
        <f t="shared" si="5"/>
        <v>0.44276158024586715</v>
      </c>
      <c r="T26" t="s">
        <v>62</v>
      </c>
      <c r="W26" t="s">
        <v>79</v>
      </c>
      <c r="X26">
        <v>-0.86678560973898722</v>
      </c>
      <c r="Y26">
        <v>0.57312756703734702</v>
      </c>
    </row>
    <row r="27" spans="1:25" x14ac:dyDescent="0.2">
      <c r="A27" t="s">
        <v>63</v>
      </c>
      <c r="B27" s="1">
        <v>-0.5089234171855318</v>
      </c>
      <c r="C27" s="1">
        <v>0.46074824022625094</v>
      </c>
      <c r="D27" s="1">
        <v>-2.0221537859806098</v>
      </c>
      <c r="E27" s="1">
        <v>0.8349551143632572</v>
      </c>
      <c r="F27" s="1">
        <v>4.546011048091711E-2</v>
      </c>
      <c r="G27" s="1">
        <v>1.3190700625670981</v>
      </c>
      <c r="H27" s="2">
        <v>0.92192186103485008</v>
      </c>
      <c r="I27" s="2">
        <v>0.51299804918428005</v>
      </c>
      <c r="J27" s="2">
        <v>1.1635822313450401</v>
      </c>
      <c r="K27" s="2">
        <v>-1.0474836708230273</v>
      </c>
      <c r="L27" s="2">
        <v>0.66593990611832998</v>
      </c>
      <c r="N27">
        <f t="shared" si="0"/>
        <v>2.1526054078563672E-2</v>
      </c>
      <c r="O27">
        <f t="shared" si="1"/>
        <v>0.4433916753718945</v>
      </c>
      <c r="P27">
        <f t="shared" si="2"/>
        <v>0.74645871672666364</v>
      </c>
      <c r="Q27">
        <f t="shared" si="3"/>
        <v>0.51356549742248381</v>
      </c>
      <c r="R27">
        <f t="shared" si="4"/>
        <v>-0.42186562129333094</v>
      </c>
      <c r="S27">
        <f t="shared" si="5"/>
        <v>0.28940416091730975</v>
      </c>
      <c r="T27" t="s">
        <v>63</v>
      </c>
      <c r="W27" t="s">
        <v>69</v>
      </c>
      <c r="X27">
        <v>0.78493916096746086</v>
      </c>
      <c r="Y27">
        <v>0.55467111249911771</v>
      </c>
    </row>
    <row r="28" spans="1:25" x14ac:dyDescent="0.2">
      <c r="A28" t="s">
        <v>64</v>
      </c>
      <c r="B28" s="1">
        <v>-0.76261965815175903</v>
      </c>
      <c r="C28" s="1">
        <v>0.14998064969366989</v>
      </c>
      <c r="D28" s="1">
        <v>-0.92924306903688114</v>
      </c>
      <c r="E28" s="1">
        <v>-0.43283250475312912</v>
      </c>
      <c r="F28" s="1">
        <v>-0.3564367533903654</v>
      </c>
      <c r="G28" s="1">
        <v>-0.31633913165444272</v>
      </c>
      <c r="H28" s="2">
        <v>0.48229899466535475</v>
      </c>
      <c r="I28" s="2">
        <v>0.4062724855468548</v>
      </c>
      <c r="J28" s="2">
        <v>-0.20927876018483427</v>
      </c>
      <c r="K28" s="2">
        <v>-2.6438051588769054</v>
      </c>
      <c r="L28" s="2">
        <v>-1.6661558260310811</v>
      </c>
      <c r="N28">
        <f t="shared" si="0"/>
        <v>-0.44124841121548458</v>
      </c>
      <c r="O28">
        <f t="shared" si="1"/>
        <v>-0.7261336529761222</v>
      </c>
      <c r="P28">
        <f t="shared" si="2"/>
        <v>1.2183133498771843</v>
      </c>
      <c r="Q28">
        <f t="shared" si="3"/>
        <v>0.67411063080555511</v>
      </c>
      <c r="R28">
        <f t="shared" si="4"/>
        <v>0.28488524176063756</v>
      </c>
      <c r="S28">
        <f t="shared" si="5"/>
        <v>0.17126882393110029</v>
      </c>
      <c r="T28" t="s">
        <v>64</v>
      </c>
      <c r="W28" t="s">
        <v>53</v>
      </c>
      <c r="X28">
        <v>0.89792681439342237</v>
      </c>
      <c r="Y28">
        <v>0.54368712363711136</v>
      </c>
    </row>
    <row r="29" spans="1:25" x14ac:dyDescent="0.2">
      <c r="A29" t="s">
        <v>65</v>
      </c>
      <c r="B29" s="1">
        <v>-0.91003672791584633</v>
      </c>
      <c r="C29" s="1">
        <v>-0.75773161402321942</v>
      </c>
      <c r="D29" s="1">
        <v>-2.1725268371584332</v>
      </c>
      <c r="E29" s="1">
        <v>-1.2137225968480734</v>
      </c>
      <c r="F29" s="1">
        <v>-1.5264087277659932</v>
      </c>
      <c r="G29" s="1">
        <v>-0.88374712797332022</v>
      </c>
      <c r="H29" s="2">
        <v>0.11279802295924379</v>
      </c>
      <c r="I29" s="2">
        <v>0.10370773432455782</v>
      </c>
      <c r="J29" s="2">
        <v>-0.4185851093221567</v>
      </c>
      <c r="K29" s="2">
        <v>-0.38673463628891425</v>
      </c>
      <c r="L29" s="2">
        <v>-1.5763198233626041</v>
      </c>
      <c r="N29">
        <f t="shared" si="0"/>
        <v>-1.2440289386141477</v>
      </c>
      <c r="O29">
        <f t="shared" si="1"/>
        <v>-0.43302676233797471</v>
      </c>
      <c r="P29">
        <f t="shared" si="2"/>
        <v>0.56998577653411253</v>
      </c>
      <c r="Q29">
        <f t="shared" si="3"/>
        <v>6.5916370380085451E-2</v>
      </c>
      <c r="R29">
        <f t="shared" si="4"/>
        <v>-0.8110021762761731</v>
      </c>
      <c r="S29">
        <f t="shared" si="5"/>
        <v>1.1810067146498189</v>
      </c>
      <c r="T29" t="s">
        <v>65</v>
      </c>
      <c r="W29" t="s">
        <v>112</v>
      </c>
      <c r="X29">
        <v>0.51894408181368812</v>
      </c>
      <c r="Y29">
        <v>0.52993806586846026</v>
      </c>
    </row>
    <row r="30" spans="1:25" x14ac:dyDescent="0.2">
      <c r="A30" t="s">
        <v>66</v>
      </c>
      <c r="B30" s="1" t="s">
        <v>67</v>
      </c>
      <c r="C30" s="1">
        <v>3.2376806260498929</v>
      </c>
      <c r="D30" s="1">
        <v>1.6005297841432229</v>
      </c>
      <c r="E30" s="1">
        <v>3.1724050565465429</v>
      </c>
      <c r="F30" s="1">
        <v>2.6130072469465411</v>
      </c>
      <c r="G30" s="1">
        <v>1.5003700316111619</v>
      </c>
      <c r="H30" s="2">
        <v>1.9150078982408534</v>
      </c>
      <c r="I30" s="2">
        <v>1.4353540654479535</v>
      </c>
      <c r="J30" s="2">
        <v>2.6498535037913133</v>
      </c>
      <c r="K30" s="2">
        <v>1.8540854455717732</v>
      </c>
      <c r="L30" s="2">
        <v>0.31361956657240542</v>
      </c>
      <c r="N30">
        <f t="shared" si="0"/>
        <v>2.4247985490594721</v>
      </c>
      <c r="O30">
        <f t="shared" si="1"/>
        <v>1.63358409592486</v>
      </c>
      <c r="P30">
        <f t="shared" si="2"/>
        <v>1.7305306012476456</v>
      </c>
      <c r="Q30">
        <f t="shared" si="3"/>
        <v>0.17768269999275241</v>
      </c>
      <c r="R30">
        <f t="shared" si="4"/>
        <v>0.79121445313461214</v>
      </c>
      <c r="S30">
        <f t="shared" si="5"/>
        <v>0.75035485505028254</v>
      </c>
      <c r="T30" t="s">
        <v>66</v>
      </c>
      <c r="W30" t="s">
        <v>74</v>
      </c>
      <c r="X30">
        <v>0.50859629917841942</v>
      </c>
      <c r="Y30">
        <v>0.48995754893999782</v>
      </c>
    </row>
    <row r="31" spans="1:25" x14ac:dyDescent="0.2">
      <c r="A31" t="s">
        <v>68</v>
      </c>
      <c r="B31" s="1">
        <v>0.51814331711186412</v>
      </c>
      <c r="C31" s="1">
        <v>1.9650581675243342</v>
      </c>
      <c r="D31" s="1">
        <v>0.55952800420861215</v>
      </c>
      <c r="E31" s="1">
        <v>1.1915532407733742</v>
      </c>
      <c r="F31" s="1">
        <v>1.4900166006003888</v>
      </c>
      <c r="G31" s="1">
        <v>-1.6738952776491156</v>
      </c>
      <c r="H31" s="2">
        <v>0.81741835366945603</v>
      </c>
      <c r="I31" s="2">
        <v>1.2595635034636361</v>
      </c>
      <c r="J31" s="2">
        <v>1.3460494848100959</v>
      </c>
      <c r="K31" s="2">
        <v>-1.1147575897104789</v>
      </c>
      <c r="L31" s="2">
        <v>-6.7288859602284243E-2</v>
      </c>
      <c r="N31">
        <f t="shared" si="0"/>
        <v>0.67506734209490971</v>
      </c>
      <c r="O31">
        <f t="shared" si="1"/>
        <v>0.44819697852608498</v>
      </c>
      <c r="P31">
        <f t="shared" si="2"/>
        <v>1.1702934775404303</v>
      </c>
      <c r="Q31">
        <f t="shared" si="3"/>
        <v>0.75257480508842289</v>
      </c>
      <c r="R31">
        <f t="shared" si="4"/>
        <v>0.22687036356882473</v>
      </c>
      <c r="S31">
        <f t="shared" si="5"/>
        <v>0.12345032520593362</v>
      </c>
      <c r="T31" t="s">
        <v>68</v>
      </c>
      <c r="W31" t="s">
        <v>121</v>
      </c>
      <c r="X31">
        <v>-0.88955174178896523</v>
      </c>
      <c r="Y31">
        <v>0.48440835791864501</v>
      </c>
    </row>
    <row r="32" spans="1:25" x14ac:dyDescent="0.2">
      <c r="A32" t="s">
        <v>69</v>
      </c>
      <c r="B32" s="1">
        <v>1.5762306033524038</v>
      </c>
      <c r="C32" s="1">
        <v>0.64261116013968955</v>
      </c>
      <c r="D32" s="1">
        <v>3.7441690158015239</v>
      </c>
      <c r="E32" s="1">
        <v>2.9248196492784837</v>
      </c>
      <c r="F32" s="1">
        <v>0.30509850169767483</v>
      </c>
      <c r="G32" s="1">
        <v>-9.4807161005636631E-2</v>
      </c>
      <c r="H32" s="2">
        <v>0.44365278980651379</v>
      </c>
      <c r="I32" s="2">
        <v>0.58529412917241375</v>
      </c>
      <c r="J32" s="2">
        <v>0.9806225803244738</v>
      </c>
      <c r="K32" s="2">
        <v>0.24084659363907079</v>
      </c>
      <c r="L32" s="2">
        <v>1.4066562432736736</v>
      </c>
      <c r="N32">
        <f t="shared" si="0"/>
        <v>1.51635362821069</v>
      </c>
      <c r="O32">
        <f t="shared" si="1"/>
        <v>0.73141446724322912</v>
      </c>
      <c r="P32">
        <f t="shared" si="2"/>
        <v>1.7230196574571175</v>
      </c>
      <c r="Q32">
        <f t="shared" si="3"/>
        <v>0.27882318734969025</v>
      </c>
      <c r="R32">
        <f t="shared" si="4"/>
        <v>0.78493916096746086</v>
      </c>
      <c r="S32">
        <f t="shared" si="5"/>
        <v>0.55467111249911771</v>
      </c>
      <c r="T32" t="s">
        <v>69</v>
      </c>
      <c r="W32" t="s">
        <v>101</v>
      </c>
      <c r="X32">
        <v>-0.50867502760616778</v>
      </c>
      <c r="Y32">
        <v>0.47870659911171437</v>
      </c>
    </row>
    <row r="33" spans="1:25" x14ac:dyDescent="0.2">
      <c r="A33" t="s">
        <v>70</v>
      </c>
      <c r="B33" s="1">
        <v>4.0598303822144854E-2</v>
      </c>
      <c r="C33" s="1">
        <v>0.71189748357105476</v>
      </c>
      <c r="D33" s="1">
        <v>-2.39896933641222</v>
      </c>
      <c r="E33" s="1">
        <v>1.7718793929762899</v>
      </c>
      <c r="F33" s="1">
        <v>1.3620264857512399</v>
      </c>
      <c r="G33" s="1">
        <v>2.4611113972328829</v>
      </c>
      <c r="H33" s="2">
        <v>1.0415517827660343</v>
      </c>
      <c r="I33" s="2">
        <v>0.99491720494763425</v>
      </c>
      <c r="J33" s="2">
        <v>1.4671914708632443</v>
      </c>
      <c r="K33" s="2">
        <v>-1.1681677123655827</v>
      </c>
      <c r="L33" s="2">
        <v>0.20038802878487427</v>
      </c>
      <c r="N33">
        <f t="shared" si="0"/>
        <v>0.65809062115689876</v>
      </c>
      <c r="O33">
        <f t="shared" si="1"/>
        <v>0.50717615499924074</v>
      </c>
      <c r="P33">
        <f t="shared" si="2"/>
        <v>1.1102730063201705</v>
      </c>
      <c r="Q33">
        <f t="shared" si="3"/>
        <v>0.86191595446693681</v>
      </c>
      <c r="R33">
        <f t="shared" si="4"/>
        <v>0.15091446615765794</v>
      </c>
      <c r="S33">
        <f t="shared" si="5"/>
        <v>6.4535080220258015E-2</v>
      </c>
      <c r="T33" t="s">
        <v>70</v>
      </c>
      <c r="W33" t="s">
        <v>77</v>
      </c>
      <c r="X33">
        <v>0.35649656821912884</v>
      </c>
      <c r="Y33">
        <v>0.45775955224405673</v>
      </c>
    </row>
    <row r="34" spans="1:25" x14ac:dyDescent="0.2">
      <c r="A34" t="s">
        <v>71</v>
      </c>
      <c r="B34" s="1">
        <v>-0.32213499379277821</v>
      </c>
      <c r="C34" s="1">
        <v>-1.3474267921131622</v>
      </c>
      <c r="D34" s="1">
        <v>-1.2385604751959223</v>
      </c>
      <c r="E34" s="1">
        <v>-0.94687765307708227</v>
      </c>
      <c r="F34" s="1">
        <v>-1.2061121893276243</v>
      </c>
      <c r="G34" s="1">
        <v>-0.91878683396592786</v>
      </c>
      <c r="H34" s="2">
        <v>-1.8231617883916469</v>
      </c>
      <c r="I34" s="2">
        <v>-1.7337113826333259</v>
      </c>
      <c r="J34" s="2">
        <v>-0.33101177062559084</v>
      </c>
      <c r="K34" s="2">
        <v>-1.5396467714612638</v>
      </c>
      <c r="L34" s="2">
        <v>-0.57104868384101293</v>
      </c>
      <c r="N34">
        <f t="shared" si="0"/>
        <v>-0.99664982291208293</v>
      </c>
      <c r="O34">
        <f t="shared" si="1"/>
        <v>-1.1997160793905681</v>
      </c>
      <c r="P34">
        <f t="shared" si="2"/>
        <v>1.1511423568920605</v>
      </c>
      <c r="Q34">
        <f t="shared" si="3"/>
        <v>0.57950372531363636</v>
      </c>
      <c r="R34">
        <f t="shared" si="4"/>
        <v>0.20306625647848509</v>
      </c>
      <c r="S34">
        <f t="shared" si="5"/>
        <v>0.23694376784886598</v>
      </c>
      <c r="T34" t="s">
        <v>71</v>
      </c>
      <c r="W34" t="s">
        <v>62</v>
      </c>
      <c r="X34">
        <v>0.85345298840467265</v>
      </c>
      <c r="Y34">
        <v>0.44276158024586715</v>
      </c>
    </row>
    <row r="35" spans="1:25" x14ac:dyDescent="0.2">
      <c r="A35" t="s">
        <v>72</v>
      </c>
      <c r="B35" s="1">
        <v>1.6367469396890137</v>
      </c>
      <c r="C35" s="1">
        <v>3.1360680037093438</v>
      </c>
      <c r="D35" s="1">
        <v>2.5297832114832737</v>
      </c>
      <c r="E35" s="1">
        <v>2.2043702105058238</v>
      </c>
      <c r="F35" s="1">
        <v>2.7212987839685017</v>
      </c>
      <c r="G35" s="1">
        <v>0.74199008991257864</v>
      </c>
      <c r="H35" s="2">
        <v>5.436673380294887</v>
      </c>
      <c r="I35" s="2">
        <v>2.9885079954277565</v>
      </c>
      <c r="J35" s="2">
        <v>0.63859779666150751</v>
      </c>
      <c r="K35" s="2">
        <v>0.25074290605312355</v>
      </c>
      <c r="L35" s="2">
        <v>2.3180403116996766</v>
      </c>
      <c r="N35">
        <f t="shared" si="0"/>
        <v>2.161709539878089</v>
      </c>
      <c r="O35">
        <f t="shared" si="1"/>
        <v>2.3265124780273903</v>
      </c>
      <c r="P35">
        <f t="shared" si="2"/>
        <v>0.89205035881401928</v>
      </c>
      <c r="Q35">
        <f t="shared" si="3"/>
        <v>0.87454719313440421</v>
      </c>
      <c r="R35">
        <f t="shared" si="4"/>
        <v>-0.1648029381493013</v>
      </c>
      <c r="S35">
        <f t="shared" si="5"/>
        <v>5.8216749747521973E-2</v>
      </c>
      <c r="T35" t="s">
        <v>72</v>
      </c>
      <c r="W35" t="s">
        <v>119</v>
      </c>
      <c r="X35">
        <v>0.57109945786971295</v>
      </c>
      <c r="Y35">
        <v>0.39666808693742767</v>
      </c>
    </row>
    <row r="36" spans="1:25" x14ac:dyDescent="0.2">
      <c r="A36" t="s">
        <v>73</v>
      </c>
      <c r="B36" s="1">
        <v>-0.27770927513479665</v>
      </c>
      <c r="C36" s="1">
        <v>2.2382580531666663</v>
      </c>
      <c r="D36" s="1">
        <v>3.1130292733490963</v>
      </c>
      <c r="E36" s="1">
        <v>1.3905077477763363</v>
      </c>
      <c r="F36" s="1">
        <v>2.0698968042154506</v>
      </c>
      <c r="G36" s="1">
        <v>-0.22575637615889971</v>
      </c>
      <c r="H36" s="2">
        <v>3.1014778420655746</v>
      </c>
      <c r="I36" s="2">
        <v>1.9889065522702443</v>
      </c>
      <c r="J36" s="2">
        <v>-0.27083387454918673</v>
      </c>
      <c r="K36" s="2">
        <v>-9.1967566558398772E-2</v>
      </c>
      <c r="L36" s="2">
        <v>0.36131059553274725</v>
      </c>
      <c r="N36">
        <f t="shared" si="0"/>
        <v>1.3847043712023088</v>
      </c>
      <c r="O36">
        <f t="shared" si="1"/>
        <v>1.0177787097521962</v>
      </c>
      <c r="P36">
        <f t="shared" si="2"/>
        <v>1.2896017989146042</v>
      </c>
      <c r="Q36">
        <f t="shared" si="3"/>
        <v>0.68210837958807247</v>
      </c>
      <c r="R36">
        <f t="shared" si="4"/>
        <v>0.36692566145011257</v>
      </c>
      <c r="S36">
        <f t="shared" si="5"/>
        <v>0.16614661520055271</v>
      </c>
      <c r="T36" t="s">
        <v>73</v>
      </c>
      <c r="W36" t="s">
        <v>118</v>
      </c>
      <c r="X36">
        <v>-0.50272537898855096</v>
      </c>
      <c r="Y36">
        <v>0.38853892143210317</v>
      </c>
    </row>
    <row r="37" spans="1:25" x14ac:dyDescent="0.2">
      <c r="A37" t="s">
        <v>74</v>
      </c>
      <c r="B37" s="1">
        <v>-0.7823472090407243</v>
      </c>
      <c r="C37" s="1">
        <v>-0.68040857396564425</v>
      </c>
      <c r="D37" s="1">
        <v>-2.050776647276491</v>
      </c>
      <c r="E37" s="1">
        <v>-2.3315159172169113</v>
      </c>
      <c r="F37" s="1">
        <v>-0.71863029026911529</v>
      </c>
      <c r="G37" s="1">
        <v>2.5225139850685585E-3</v>
      </c>
      <c r="H37" s="2">
        <v>-1.3445858759040796</v>
      </c>
      <c r="I37" s="2">
        <v>-1.1245684753754497</v>
      </c>
      <c r="J37" s="2">
        <v>-2.3293061039333098</v>
      </c>
      <c r="K37" s="2">
        <v>-2.3856341880935297</v>
      </c>
      <c r="L37" s="2">
        <v>-0.82651695573890982</v>
      </c>
      <c r="N37">
        <f t="shared" si="0"/>
        <v>-1.0935260206306363</v>
      </c>
      <c r="O37">
        <f t="shared" si="1"/>
        <v>-1.6021223198090557</v>
      </c>
      <c r="P37">
        <f t="shared" si="2"/>
        <v>1.4226653095106725</v>
      </c>
      <c r="Q37">
        <f t="shared" si="3"/>
        <v>0.32362528884233321</v>
      </c>
      <c r="R37">
        <f t="shared" si="4"/>
        <v>0.50859629917841942</v>
      </c>
      <c r="S37">
        <f t="shared" si="5"/>
        <v>0.48995754893999782</v>
      </c>
      <c r="T37" t="s">
        <v>74</v>
      </c>
      <c r="W37" t="s">
        <v>97</v>
      </c>
      <c r="X37">
        <v>-0.96672961733786167</v>
      </c>
      <c r="Y37">
        <v>0.36935743948327832</v>
      </c>
    </row>
    <row r="38" spans="1:25" x14ac:dyDescent="0.2">
      <c r="A38" t="s">
        <v>75</v>
      </c>
      <c r="B38" s="1">
        <v>0.52198428931740981</v>
      </c>
      <c r="C38" s="1">
        <v>-1.3764291014415442</v>
      </c>
      <c r="D38" s="1">
        <v>-1.0539237015108842</v>
      </c>
      <c r="E38" s="1">
        <v>-0.81337627447630423</v>
      </c>
      <c r="F38" s="1">
        <v>-1.3888356584475847E-2</v>
      </c>
      <c r="G38" s="1">
        <v>0.72246822804570021</v>
      </c>
      <c r="H38" s="2">
        <v>-1.7162454032672838</v>
      </c>
      <c r="I38" s="2">
        <v>-1.7289307231974838</v>
      </c>
      <c r="J38" s="2">
        <v>-0.6994434831111509</v>
      </c>
      <c r="K38" s="2">
        <v>-1.4485676207372538</v>
      </c>
      <c r="L38" s="2">
        <v>-1.2803722463135441</v>
      </c>
      <c r="N38">
        <f t="shared" si="0"/>
        <v>-0.33552748610834976</v>
      </c>
      <c r="O38">
        <f t="shared" si="1"/>
        <v>-1.374711895325343</v>
      </c>
      <c r="P38">
        <f t="shared" si="2"/>
        <v>2.0550655460561624</v>
      </c>
      <c r="Q38">
        <f t="shared" si="3"/>
        <v>3.4323172802915546E-2</v>
      </c>
      <c r="R38">
        <f t="shared" si="4"/>
        <v>1.0391844092169935</v>
      </c>
      <c r="S38">
        <f t="shared" si="5"/>
        <v>1.4644125731802933</v>
      </c>
      <c r="T38" t="s">
        <v>75</v>
      </c>
      <c r="W38" t="s">
        <v>116</v>
      </c>
      <c r="X38">
        <v>0.43836169786595997</v>
      </c>
      <c r="Y38">
        <v>0.36268340512033093</v>
      </c>
    </row>
    <row r="39" spans="1:25" x14ac:dyDescent="0.2">
      <c r="A39" t="s">
        <v>76</v>
      </c>
      <c r="B39" s="1">
        <v>3.792026579021023</v>
      </c>
      <c r="C39" s="1">
        <v>-1.0139352516507465</v>
      </c>
      <c r="D39" s="1">
        <v>-0.38023861139909654</v>
      </c>
      <c r="E39" s="1">
        <v>0.82922263945448371</v>
      </c>
      <c r="F39" s="1">
        <v>2.3083458638457</v>
      </c>
      <c r="G39" s="1">
        <v>0.50525977101758368</v>
      </c>
      <c r="H39" s="2">
        <v>-0.77951885581515534</v>
      </c>
      <c r="I39" s="2">
        <v>-6.1789355822768344E-2</v>
      </c>
      <c r="J39" s="2">
        <v>-0.55766685205912536</v>
      </c>
      <c r="K39" s="2">
        <v>-2.2502710375938832</v>
      </c>
      <c r="L39" s="2">
        <v>0.72918542607746661</v>
      </c>
      <c r="N39">
        <f t="shared" si="0"/>
        <v>1.0067801650481578</v>
      </c>
      <c r="O39">
        <f t="shared" si="1"/>
        <v>-0.58401213504269323</v>
      </c>
      <c r="P39">
        <f t="shared" si="2"/>
        <v>3.0121472534325249</v>
      </c>
      <c r="Q39">
        <f t="shared" si="3"/>
        <v>0.10464300602344596</v>
      </c>
      <c r="R39">
        <f t="shared" si="4"/>
        <v>1.590792300090851</v>
      </c>
      <c r="S39">
        <f t="shared" si="5"/>
        <v>0.98028979309622533</v>
      </c>
      <c r="T39" t="s">
        <v>76</v>
      </c>
      <c r="W39" t="s">
        <v>107</v>
      </c>
      <c r="X39">
        <v>0.87204219453623466</v>
      </c>
      <c r="Y39">
        <v>0.33942628835650956</v>
      </c>
    </row>
    <row r="40" spans="1:25" x14ac:dyDescent="0.2">
      <c r="A40" t="s">
        <v>77</v>
      </c>
      <c r="B40" s="1">
        <v>-0.6087848571735277</v>
      </c>
      <c r="C40" s="1">
        <v>5.7077413470683347E-2</v>
      </c>
      <c r="D40" s="1">
        <v>-0.74817044507864172</v>
      </c>
      <c r="E40" s="1">
        <v>-0.8898623616792356</v>
      </c>
      <c r="F40" s="1">
        <v>-0.39975731848254648</v>
      </c>
      <c r="G40" s="1">
        <v>-1.0740970682657154</v>
      </c>
      <c r="H40" s="2">
        <v>-0.59495721543092284</v>
      </c>
      <c r="I40" s="2">
        <v>-0.57989944408423089</v>
      </c>
      <c r="J40" s="2">
        <v>-2.2041877452112706</v>
      </c>
      <c r="K40" s="2">
        <v>-0.70619072221906187</v>
      </c>
      <c r="L40" s="2">
        <v>-0.75024324515764484</v>
      </c>
      <c r="N40">
        <f t="shared" si="0"/>
        <v>-0.61059910620149727</v>
      </c>
      <c r="O40">
        <f t="shared" si="1"/>
        <v>-0.96709567442062616</v>
      </c>
      <c r="P40">
        <f t="shared" si="2"/>
        <v>1.280313015173953</v>
      </c>
      <c r="Q40">
        <f t="shared" si="3"/>
        <v>0.34853022588234467</v>
      </c>
      <c r="R40">
        <f t="shared" si="4"/>
        <v>0.35649656821912884</v>
      </c>
      <c r="S40">
        <f t="shared" si="5"/>
        <v>0.45775955224405673</v>
      </c>
      <c r="T40" t="s">
        <v>77</v>
      </c>
      <c r="W40" t="s">
        <v>122</v>
      </c>
      <c r="X40">
        <v>0.36500333624355735</v>
      </c>
      <c r="Y40">
        <v>0.30228433364737867</v>
      </c>
    </row>
    <row r="41" spans="1:25" x14ac:dyDescent="0.2">
      <c r="A41" t="s">
        <v>78</v>
      </c>
      <c r="B41" s="1">
        <v>-0.69554120970789302</v>
      </c>
      <c r="C41" s="1">
        <v>-0.91992636859812904</v>
      </c>
      <c r="D41" s="1">
        <v>-1.167141342102628</v>
      </c>
      <c r="E41" s="1">
        <v>-1.120295555483767</v>
      </c>
      <c r="F41" s="1">
        <v>-0.3563616699015193</v>
      </c>
      <c r="G41" s="1">
        <v>-1.1725408145212499</v>
      </c>
      <c r="H41" s="2">
        <v>-0.26818608219372575</v>
      </c>
      <c r="I41" s="2">
        <v>-1.0353013369314348</v>
      </c>
      <c r="J41" s="2">
        <v>-1.6557646428252748</v>
      </c>
      <c r="K41" s="2">
        <v>-1.3148087073301049</v>
      </c>
      <c r="L41" s="2">
        <v>0.18677359213860029</v>
      </c>
      <c r="N41">
        <f t="shared" si="0"/>
        <v>-0.90530116005253103</v>
      </c>
      <c r="O41">
        <f t="shared" si="1"/>
        <v>-0.817457435428388</v>
      </c>
      <c r="P41">
        <f t="shared" si="2"/>
        <v>0.94092802504511408</v>
      </c>
      <c r="Q41">
        <f t="shared" si="3"/>
        <v>0.81889838032958262</v>
      </c>
      <c r="R41">
        <f t="shared" si="4"/>
        <v>-8.7843724624142971E-2</v>
      </c>
      <c r="S41">
        <f t="shared" si="5"/>
        <v>8.6769987861430753E-2</v>
      </c>
      <c r="T41" t="s">
        <v>78</v>
      </c>
      <c r="W41" t="s">
        <v>106</v>
      </c>
      <c r="X41">
        <v>-0.36314417074563743</v>
      </c>
      <c r="Y41">
        <v>0.29878287281766858</v>
      </c>
    </row>
    <row r="42" spans="1:25" x14ac:dyDescent="0.2">
      <c r="A42" t="s">
        <v>79</v>
      </c>
      <c r="B42" s="1">
        <v>0.29799688625485832</v>
      </c>
      <c r="C42" s="1">
        <v>2.3509535124344803</v>
      </c>
      <c r="D42" s="1">
        <v>2.3319690139050202</v>
      </c>
      <c r="E42" s="1">
        <v>1.1246574105688603</v>
      </c>
      <c r="F42" s="1">
        <v>2.3332748832146226</v>
      </c>
      <c r="G42" s="1">
        <v>0.15558565471456631</v>
      </c>
      <c r="H42" s="2">
        <v>3.638500328142432</v>
      </c>
      <c r="I42" s="2">
        <v>3.4696096478285918</v>
      </c>
      <c r="J42" s="2">
        <v>2.2594650122078619</v>
      </c>
      <c r="K42" s="2">
        <v>0.50298117763953487</v>
      </c>
      <c r="L42" s="2">
        <v>1.6254030171201879</v>
      </c>
      <c r="N42">
        <f t="shared" si="0"/>
        <v>1.4324062268487345</v>
      </c>
      <c r="O42">
        <f t="shared" si="1"/>
        <v>2.2991918365877217</v>
      </c>
      <c r="P42">
        <f t="shared" si="2"/>
        <v>0.54836727781308081</v>
      </c>
      <c r="Q42">
        <f t="shared" si="3"/>
        <v>0.26722213712113813</v>
      </c>
      <c r="R42">
        <f t="shared" si="4"/>
        <v>-0.86678560973898722</v>
      </c>
      <c r="S42">
        <f t="shared" si="5"/>
        <v>0.57312756703734702</v>
      </c>
      <c r="T42" t="s">
        <v>79</v>
      </c>
      <c r="W42" t="s">
        <v>63</v>
      </c>
      <c r="X42">
        <v>-0.42186562129333094</v>
      </c>
      <c r="Y42">
        <v>0.28940416091730975</v>
      </c>
    </row>
    <row r="43" spans="1:25" x14ac:dyDescent="0.2">
      <c r="A43" t="s">
        <v>80</v>
      </c>
      <c r="B43" s="1">
        <v>3.9021327238302068</v>
      </c>
      <c r="C43" s="1">
        <v>-0.26802305549895611</v>
      </c>
      <c r="D43" s="1">
        <v>0.43458636684331986</v>
      </c>
      <c r="E43" s="1">
        <v>0.50938694165066689</v>
      </c>
      <c r="F43" s="1">
        <v>2.4810215401687556</v>
      </c>
      <c r="G43" s="1">
        <v>0.83649340262312633</v>
      </c>
      <c r="H43" s="2">
        <v>-4.7049580544806277E-2</v>
      </c>
      <c r="I43" s="2">
        <v>-0.29568407289753956</v>
      </c>
      <c r="J43" s="2">
        <v>-2.0758035393799021</v>
      </c>
      <c r="K43" s="2">
        <v>-1.9282175204436827</v>
      </c>
      <c r="L43" s="2">
        <v>0.4147138972653604</v>
      </c>
      <c r="N43">
        <f t="shared" si="0"/>
        <v>1.3159329866028535</v>
      </c>
      <c r="O43">
        <f t="shared" si="1"/>
        <v>-0.78640816320011397</v>
      </c>
      <c r="P43">
        <f t="shared" si="2"/>
        <v>4.294056428273449</v>
      </c>
      <c r="Q43">
        <f t="shared" si="3"/>
        <v>3.0252570623204283E-2</v>
      </c>
      <c r="R43">
        <f t="shared" si="4"/>
        <v>2.1023411498029674</v>
      </c>
      <c r="S43">
        <f t="shared" si="5"/>
        <v>1.5192377165473929</v>
      </c>
      <c r="T43" t="s">
        <v>80</v>
      </c>
      <c r="W43" t="s">
        <v>105</v>
      </c>
      <c r="X43">
        <v>0.66606009120232512</v>
      </c>
      <c r="Y43">
        <v>0.26648803951050803</v>
      </c>
    </row>
    <row r="44" spans="1:25" x14ac:dyDescent="0.2">
      <c r="A44" t="s">
        <v>81</v>
      </c>
      <c r="B44" s="1">
        <v>2.0758430265652197</v>
      </c>
      <c r="C44" s="1" t="s">
        <v>67</v>
      </c>
      <c r="D44" s="1">
        <v>0.77575614693657458</v>
      </c>
      <c r="E44" s="1">
        <v>1.2780731046373395</v>
      </c>
      <c r="F44" s="1">
        <v>2.9468577207106899</v>
      </c>
      <c r="G44" s="1">
        <v>-0.46697697201949384</v>
      </c>
      <c r="H44" s="2">
        <v>2.6276031682727226</v>
      </c>
      <c r="I44" s="2">
        <v>1.9807119475392425</v>
      </c>
      <c r="J44" s="2">
        <v>0.28386949413251339</v>
      </c>
      <c r="K44" s="2">
        <v>0.39980224751938143</v>
      </c>
      <c r="L44" s="2">
        <v>1.8208204074660523</v>
      </c>
      <c r="N44">
        <f t="shared" ref="N44:N75" si="6">AVERAGE(B44:G44)</f>
        <v>1.3219106053660661</v>
      </c>
      <c r="O44">
        <f t="shared" ref="O44:O75" si="7">AVERAGE(H44:L44)</f>
        <v>1.4225614529859825</v>
      </c>
      <c r="P44">
        <f t="shared" ref="P44:P75" si="8">2^(N44 - O44)</f>
        <v>0.93261216431612415</v>
      </c>
      <c r="Q44">
        <f t="shared" ref="Q44:Q75" si="9">_xlfn.T.TEST(B44:G44,H44:L44, 2, 3)</f>
        <v>0.89543789974376176</v>
      </c>
      <c r="R44">
        <f t="shared" ref="R44:R75" si="10">LOG(P44,2)</f>
        <v>-0.10065084761991643</v>
      </c>
      <c r="S44">
        <f t="shared" ref="S44:S75" si="11">-LOG(Q44,10)</f>
        <v>4.796452788730015E-2</v>
      </c>
      <c r="T44" t="s">
        <v>81</v>
      </c>
      <c r="W44" t="s">
        <v>109</v>
      </c>
      <c r="X44">
        <v>-0.21998822974604193</v>
      </c>
      <c r="Y44">
        <v>0.24194646344691087</v>
      </c>
    </row>
    <row r="45" spans="1:25" x14ac:dyDescent="0.2">
      <c r="A45" t="s">
        <v>82</v>
      </c>
      <c r="B45" s="1">
        <v>-0.15635279926464163</v>
      </c>
      <c r="C45" s="1" t="s">
        <v>67</v>
      </c>
      <c r="D45" s="1">
        <v>2.7558811980349414</v>
      </c>
      <c r="E45" s="1">
        <v>0.9258218276471113</v>
      </c>
      <c r="F45" s="1">
        <v>2.5192156032505624</v>
      </c>
      <c r="G45" s="1">
        <v>-0.29582446196560958</v>
      </c>
      <c r="H45" s="2">
        <v>6.1681007916693504</v>
      </c>
      <c r="I45" s="2">
        <v>3.5154937066970904</v>
      </c>
      <c r="J45" s="2">
        <v>1.3668300990820186</v>
      </c>
      <c r="K45" s="2">
        <v>1.5251942057901435</v>
      </c>
      <c r="L45" s="2">
        <v>2.4453909809410908</v>
      </c>
      <c r="N45">
        <f t="shared" si="6"/>
        <v>1.1497482735404729</v>
      </c>
      <c r="O45">
        <f t="shared" si="7"/>
        <v>3.0042019568359386</v>
      </c>
      <c r="P45">
        <f t="shared" si="8"/>
        <v>0.27653736208823188</v>
      </c>
      <c r="Q45">
        <f t="shared" si="9"/>
        <v>0.13065028231522363</v>
      </c>
      <c r="R45">
        <f t="shared" si="10"/>
        <v>-1.8544536832954657</v>
      </c>
      <c r="S45">
        <f t="shared" si="11"/>
        <v>0.88388964749186927</v>
      </c>
      <c r="T45" t="s">
        <v>82</v>
      </c>
      <c r="W45" t="s">
        <v>71</v>
      </c>
      <c r="X45">
        <v>0.20306625647848509</v>
      </c>
      <c r="Y45">
        <v>0.23694376784886598</v>
      </c>
    </row>
    <row r="46" spans="1:25" x14ac:dyDescent="0.2">
      <c r="A46" t="s">
        <v>83</v>
      </c>
      <c r="B46" s="1">
        <v>-0.69136499211222335</v>
      </c>
      <c r="C46" s="1">
        <v>0.40791041668992056</v>
      </c>
      <c r="D46" s="1">
        <v>-0.14481208684666441</v>
      </c>
      <c r="E46" s="1">
        <v>-0.48103725688957077</v>
      </c>
      <c r="F46" s="1">
        <v>-0.15331512363862987</v>
      </c>
      <c r="G46" s="1">
        <v>0.4255474737137166</v>
      </c>
      <c r="H46" s="2">
        <v>1.1169964973597819</v>
      </c>
      <c r="I46" s="2">
        <v>1.1971502293818908</v>
      </c>
      <c r="J46" s="2">
        <v>0.32142062785291481</v>
      </c>
      <c r="K46" s="2">
        <v>-0.80643102329525018</v>
      </c>
      <c r="L46" s="2">
        <v>0.17404194525113781</v>
      </c>
      <c r="N46">
        <f t="shared" si="6"/>
        <v>-0.10617859484724186</v>
      </c>
      <c r="O46">
        <f t="shared" si="7"/>
        <v>0.40063565531009504</v>
      </c>
      <c r="P46">
        <f t="shared" si="8"/>
        <v>0.70377479422772826</v>
      </c>
      <c r="Q46">
        <f t="shared" si="9"/>
        <v>0.2618071208636879</v>
      </c>
      <c r="R46">
        <f t="shared" si="10"/>
        <v>-0.50681425015733683</v>
      </c>
      <c r="S46">
        <f t="shared" si="11"/>
        <v>0.58201854529577224</v>
      </c>
      <c r="T46" t="s">
        <v>83</v>
      </c>
      <c r="W46" t="s">
        <v>84</v>
      </c>
      <c r="X46">
        <v>-0.35586278664846033</v>
      </c>
      <c r="Y46">
        <v>0.20229580013728438</v>
      </c>
    </row>
    <row r="47" spans="1:25" x14ac:dyDescent="0.2">
      <c r="A47" t="s">
        <v>84</v>
      </c>
      <c r="B47" s="1">
        <v>1.5389905350228137</v>
      </c>
      <c r="C47" s="1">
        <v>4.5425305310012529</v>
      </c>
      <c r="D47" s="1">
        <v>0.93454549692138356</v>
      </c>
      <c r="E47" s="1">
        <v>1.3756283379655638</v>
      </c>
      <c r="F47" s="1">
        <v>1.9103845072674166</v>
      </c>
      <c r="G47" s="1">
        <v>2.2284543844543827</v>
      </c>
      <c r="H47" s="2">
        <v>4.0812200022368419</v>
      </c>
      <c r="I47" s="2">
        <v>2.8659588492522317</v>
      </c>
      <c r="J47" s="2">
        <v>1.4325010627258516</v>
      </c>
      <c r="K47" s="2">
        <v>2.1846084508687218</v>
      </c>
      <c r="L47" s="2">
        <v>1.6571370620193315</v>
      </c>
      <c r="N47">
        <f t="shared" si="6"/>
        <v>2.0884222987721355</v>
      </c>
      <c r="O47">
        <f t="shared" si="7"/>
        <v>2.4442850854205957</v>
      </c>
      <c r="P47">
        <f t="shared" si="8"/>
        <v>0.78140219505693786</v>
      </c>
      <c r="Q47">
        <f t="shared" si="9"/>
        <v>0.62763073077956855</v>
      </c>
      <c r="R47">
        <f t="shared" si="10"/>
        <v>-0.35586278664846033</v>
      </c>
      <c r="S47">
        <f t="shared" si="11"/>
        <v>0.20229580013728438</v>
      </c>
      <c r="T47" t="s">
        <v>84</v>
      </c>
      <c r="W47" t="s">
        <v>113</v>
      </c>
      <c r="X47">
        <v>-0.1520374489569126</v>
      </c>
      <c r="Y47">
        <v>0.1908479699681839</v>
      </c>
    </row>
    <row r="48" spans="1:25" x14ac:dyDescent="0.2">
      <c r="A48" t="s">
        <v>85</v>
      </c>
      <c r="B48" s="1">
        <v>0.50439137158128156</v>
      </c>
      <c r="C48" s="1">
        <v>2.6105171930633517</v>
      </c>
      <c r="D48" s="1">
        <v>1.1089998332356816</v>
      </c>
      <c r="E48" s="1">
        <v>1.5356037227970514</v>
      </c>
      <c r="F48" s="1">
        <v>1.5885423958399687</v>
      </c>
      <c r="G48" s="1">
        <v>-1.2045189602429889</v>
      </c>
      <c r="H48" s="2">
        <v>3.2159616249453205</v>
      </c>
      <c r="I48" s="2">
        <v>2.7500999442353904</v>
      </c>
      <c r="J48" s="2">
        <v>0.60515807407287625</v>
      </c>
      <c r="K48" s="2">
        <v>1.4677259313454916</v>
      </c>
      <c r="L48" s="2">
        <v>1.5451475526883105</v>
      </c>
      <c r="N48">
        <f t="shared" si="6"/>
        <v>1.0239225927123909</v>
      </c>
      <c r="O48">
        <f t="shared" si="7"/>
        <v>1.9168186254574782</v>
      </c>
      <c r="P48">
        <f t="shared" si="8"/>
        <v>0.53853199579621791</v>
      </c>
      <c r="Q48">
        <f t="shared" si="9"/>
        <v>0.23848164836842045</v>
      </c>
      <c r="R48">
        <f t="shared" si="10"/>
        <v>-0.89289603274508722</v>
      </c>
      <c r="S48">
        <f t="shared" si="11"/>
        <v>0.62254503515206483</v>
      </c>
      <c r="T48" t="s">
        <v>85</v>
      </c>
      <c r="W48" t="s">
        <v>60</v>
      </c>
      <c r="X48">
        <v>0.24704511560892442</v>
      </c>
      <c r="Y48">
        <v>0.18814005785976487</v>
      </c>
    </row>
    <row r="49" spans="1:25" x14ac:dyDescent="0.2">
      <c r="A49" t="s">
        <v>86</v>
      </c>
      <c r="B49" s="1">
        <v>0.81330238220038598</v>
      </c>
      <c r="C49" s="1">
        <v>-0.28335591990289299</v>
      </c>
      <c r="D49" s="1">
        <v>1.7796475503583851</v>
      </c>
      <c r="E49" s="1">
        <v>0.40456902842132497</v>
      </c>
      <c r="F49" s="1">
        <v>-0.44572502114057716</v>
      </c>
      <c r="G49" s="1">
        <v>6.4103340175850995E-2</v>
      </c>
      <c r="H49" s="2">
        <v>-0.6269906489554008</v>
      </c>
      <c r="I49" s="2">
        <v>-0.68854772362978689</v>
      </c>
      <c r="J49" s="2">
        <v>-0.26229094495589983</v>
      </c>
      <c r="K49" s="2">
        <v>-0.49122363713840678</v>
      </c>
      <c r="L49" s="2">
        <v>0.47450547722015413</v>
      </c>
      <c r="N49">
        <f t="shared" si="6"/>
        <v>0.38875689335207936</v>
      </c>
      <c r="O49">
        <f t="shared" si="7"/>
        <v>-0.31890949549186798</v>
      </c>
      <c r="P49">
        <f t="shared" si="8"/>
        <v>1.6331602839022124</v>
      </c>
      <c r="Q49">
        <f t="shared" si="9"/>
        <v>0.11118364129174256</v>
      </c>
      <c r="R49">
        <f t="shared" si="10"/>
        <v>0.70766638884394728</v>
      </c>
      <c r="S49">
        <f t="shared" si="11"/>
        <v>0.95395910681288409</v>
      </c>
      <c r="T49" t="s">
        <v>86</v>
      </c>
      <c r="W49" t="s">
        <v>48</v>
      </c>
      <c r="X49">
        <v>0.21275958705383421</v>
      </c>
      <c r="Y49">
        <v>0.18552763338014847</v>
      </c>
    </row>
    <row r="50" spans="1:25" x14ac:dyDescent="0.2">
      <c r="A50" t="s">
        <v>87</v>
      </c>
      <c r="B50" s="1">
        <v>1.6283476778514907</v>
      </c>
      <c r="C50" s="1">
        <v>3.945009100685581</v>
      </c>
      <c r="D50" s="1">
        <v>1.6014762245687808</v>
      </c>
      <c r="E50" s="1">
        <v>1.9994493385225609</v>
      </c>
      <c r="F50" s="1">
        <v>3.0103387977375555</v>
      </c>
      <c r="G50" s="1">
        <v>1.7946611491144315</v>
      </c>
      <c r="H50" s="2">
        <v>2.8155760162660792</v>
      </c>
      <c r="I50" s="2">
        <v>2.8521381949413493</v>
      </c>
      <c r="J50" s="2">
        <v>1.4471358211687333</v>
      </c>
      <c r="K50" s="2">
        <v>2.0836446053566391</v>
      </c>
      <c r="L50" s="2">
        <v>1.2866325942262813</v>
      </c>
      <c r="N50">
        <f t="shared" si="6"/>
        <v>2.3298803814134001</v>
      </c>
      <c r="O50">
        <f t="shared" si="7"/>
        <v>2.0970254463918163</v>
      </c>
      <c r="P50">
        <f t="shared" si="8"/>
        <v>1.1751581587033053</v>
      </c>
      <c r="Q50">
        <f t="shared" si="9"/>
        <v>0.65751003124836926</v>
      </c>
      <c r="R50">
        <f t="shared" si="10"/>
        <v>0.2328549350215838</v>
      </c>
      <c r="S50">
        <f t="shared" si="11"/>
        <v>0.18209761700918428</v>
      </c>
      <c r="T50" t="s">
        <v>87</v>
      </c>
      <c r="W50" t="s">
        <v>87</v>
      </c>
      <c r="X50">
        <v>0.2328549350215838</v>
      </c>
      <c r="Y50">
        <v>0.18209761700918428</v>
      </c>
    </row>
    <row r="51" spans="1:25" x14ac:dyDescent="0.2">
      <c r="A51" t="s">
        <v>88</v>
      </c>
      <c r="B51" s="1">
        <v>-0.29684336840413861</v>
      </c>
      <c r="C51" s="1">
        <v>2.5893220324837585</v>
      </c>
      <c r="D51" s="1">
        <v>1.5327745934427583</v>
      </c>
      <c r="E51" s="1">
        <v>9.9733874727625405E-2</v>
      </c>
      <c r="F51" s="1">
        <v>1.372853201245932</v>
      </c>
      <c r="G51" s="1">
        <v>1.4841454594708909</v>
      </c>
      <c r="H51" s="2">
        <v>1.9505071458084333</v>
      </c>
      <c r="I51" s="2">
        <v>2.3641921269025343</v>
      </c>
      <c r="J51" s="2">
        <v>-0.46752538678350564</v>
      </c>
      <c r="K51" s="2">
        <v>0.61864754144769829</v>
      </c>
      <c r="L51" s="2">
        <v>1.2178402676449751</v>
      </c>
      <c r="N51">
        <f t="shared" si="6"/>
        <v>1.1303309654944711</v>
      </c>
      <c r="O51">
        <f t="shared" si="7"/>
        <v>1.1367323390040271</v>
      </c>
      <c r="P51">
        <f t="shared" si="8"/>
        <v>0.99557273535841906</v>
      </c>
      <c r="Q51">
        <f t="shared" si="9"/>
        <v>0.99249635524360746</v>
      </c>
      <c r="R51">
        <f t="shared" si="10"/>
        <v>-6.4013735095561032E-3</v>
      </c>
      <c r="S51">
        <f t="shared" si="11"/>
        <v>3.2710794268076301E-3</v>
      </c>
      <c r="T51" t="s">
        <v>88</v>
      </c>
      <c r="W51" t="s">
        <v>115</v>
      </c>
      <c r="X51">
        <v>-0.11669988492849212</v>
      </c>
      <c r="Y51">
        <v>0.17596180323120467</v>
      </c>
    </row>
    <row r="52" spans="1:25" x14ac:dyDescent="0.2">
      <c r="A52" t="s">
        <v>89</v>
      </c>
      <c r="B52" s="1">
        <v>0.57848344872189028</v>
      </c>
      <c r="C52" s="1">
        <v>1.8581185616200515</v>
      </c>
      <c r="D52" s="1">
        <v>3.0097964422040913</v>
      </c>
      <c r="E52" s="1">
        <v>1.8837164886291013</v>
      </c>
      <c r="F52" s="1">
        <v>1.9787312154438983</v>
      </c>
      <c r="G52" s="1">
        <v>3.0587264915241881</v>
      </c>
      <c r="H52" s="2">
        <v>3.6516154588366412</v>
      </c>
      <c r="I52" s="2">
        <v>2.6800819000018414</v>
      </c>
      <c r="J52" s="2">
        <v>1.0168921539996438</v>
      </c>
      <c r="K52" s="2">
        <v>0.67937798103975333</v>
      </c>
      <c r="L52" s="2">
        <v>1.6695543362037544</v>
      </c>
      <c r="N52">
        <f t="shared" si="6"/>
        <v>2.0612621080238704</v>
      </c>
      <c r="O52">
        <f t="shared" si="7"/>
        <v>1.9395043660163267</v>
      </c>
      <c r="P52">
        <f t="shared" si="8"/>
        <v>1.0880597188582182</v>
      </c>
      <c r="Q52">
        <f t="shared" si="9"/>
        <v>0.85913818008356313</v>
      </c>
      <c r="R52">
        <f t="shared" si="10"/>
        <v>0.12175774200754383</v>
      </c>
      <c r="S52">
        <f t="shared" si="11"/>
        <v>6.5936980497513759E-2</v>
      </c>
      <c r="T52" t="s">
        <v>89</v>
      </c>
      <c r="W52" t="s">
        <v>64</v>
      </c>
      <c r="X52">
        <v>0.28488524176063756</v>
      </c>
      <c r="Y52">
        <v>0.17126882393110029</v>
      </c>
    </row>
    <row r="53" spans="1:25" x14ac:dyDescent="0.2">
      <c r="A53" t="s">
        <v>90</v>
      </c>
      <c r="B53" s="1">
        <v>0.76458567780103581</v>
      </c>
      <c r="C53" s="1">
        <v>-2.6351880632216232E-2</v>
      </c>
      <c r="D53" s="1">
        <v>0.17418201645644449</v>
      </c>
      <c r="E53" s="1">
        <v>0.42226376779482977</v>
      </c>
      <c r="F53" s="1">
        <v>1.2604411815768743</v>
      </c>
      <c r="G53" s="1">
        <v>1.4971044189125029</v>
      </c>
      <c r="H53" s="2">
        <v>0.54594218296927499</v>
      </c>
      <c r="I53" s="2">
        <v>0.44536742704214638</v>
      </c>
      <c r="J53" s="2">
        <v>-0.13179785648769704</v>
      </c>
      <c r="K53" s="2">
        <v>-0.11171233644292999</v>
      </c>
      <c r="L53" s="2">
        <v>0.7007310378883409</v>
      </c>
      <c r="N53">
        <f t="shared" si="6"/>
        <v>0.68203753031824521</v>
      </c>
      <c r="O53">
        <f t="shared" si="7"/>
        <v>0.28970609099382705</v>
      </c>
      <c r="P53">
        <f t="shared" si="8"/>
        <v>1.3125127516938935</v>
      </c>
      <c r="Q53">
        <f t="shared" si="9"/>
        <v>0.2273742040773041</v>
      </c>
      <c r="R53">
        <f t="shared" si="10"/>
        <v>0.39233143932441811</v>
      </c>
      <c r="S53">
        <f t="shared" si="11"/>
        <v>0.64325880817228553</v>
      </c>
      <c r="T53" t="s">
        <v>90</v>
      </c>
      <c r="W53" t="s">
        <v>49</v>
      </c>
      <c r="X53">
        <v>0.24061640961928166</v>
      </c>
      <c r="Y53">
        <v>0.16959276887874689</v>
      </c>
    </row>
    <row r="54" spans="1:25" x14ac:dyDescent="0.2">
      <c r="A54" t="s">
        <v>91</v>
      </c>
      <c r="B54" s="1">
        <v>-0.25657545853520175</v>
      </c>
      <c r="C54" s="1">
        <v>-9.9517610391048061E-2</v>
      </c>
      <c r="D54" s="1">
        <v>-0.75662817130216375</v>
      </c>
      <c r="E54" s="1">
        <v>-0.86998378725097469</v>
      </c>
      <c r="F54" s="1">
        <v>-1.116051466957237</v>
      </c>
      <c r="G54" s="1">
        <v>0.46979171355271276</v>
      </c>
      <c r="H54" s="2">
        <v>-8.3258011796969067E-2</v>
      </c>
      <c r="I54" s="2">
        <v>-0.16822997270096907</v>
      </c>
      <c r="J54" s="2">
        <v>0.64671612379379595</v>
      </c>
      <c r="K54" s="2">
        <v>-0.26506377467099707</v>
      </c>
      <c r="L54" s="2">
        <v>-0.12559471235085107</v>
      </c>
      <c r="N54">
        <f t="shared" si="6"/>
        <v>-0.4381607968139854</v>
      </c>
      <c r="O54">
        <f t="shared" si="7"/>
        <v>9.1393045480193664E-4</v>
      </c>
      <c r="P54">
        <f t="shared" si="8"/>
        <v>0.73760752169832022</v>
      </c>
      <c r="Q54">
        <f t="shared" si="9"/>
        <v>0.16682938534564418</v>
      </c>
      <c r="R54">
        <f t="shared" si="10"/>
        <v>-0.43907472726878732</v>
      </c>
      <c r="S54">
        <f t="shared" si="11"/>
        <v>0.77772745028427848</v>
      </c>
      <c r="T54" t="s">
        <v>91</v>
      </c>
      <c r="W54" t="s">
        <v>73</v>
      </c>
      <c r="X54">
        <v>0.36692566145011257</v>
      </c>
      <c r="Y54">
        <v>0.16614661520055271</v>
      </c>
    </row>
    <row r="55" spans="1:25" x14ac:dyDescent="0.2">
      <c r="A55" t="s">
        <v>92</v>
      </c>
      <c r="B55" s="1">
        <v>-0.49102060043086382</v>
      </c>
      <c r="C55" s="1">
        <v>1.694644879703076</v>
      </c>
      <c r="D55" s="1">
        <v>0.8822106854196361</v>
      </c>
      <c r="E55" s="1">
        <v>-0.88450055810214478</v>
      </c>
      <c r="F55" s="1">
        <v>0.13621958048133709</v>
      </c>
      <c r="G55" s="1">
        <v>0.4312879195414725</v>
      </c>
      <c r="H55" s="2">
        <v>-4.1179884673152367E-2</v>
      </c>
      <c r="I55" s="2">
        <v>8.0393074960436683E-2</v>
      </c>
      <c r="J55" s="2">
        <v>-1.5965088533511023</v>
      </c>
      <c r="K55" s="2">
        <v>-1.0889564591302121</v>
      </c>
      <c r="L55" s="2">
        <v>0.37952991159556471</v>
      </c>
      <c r="N55">
        <f t="shared" si="6"/>
        <v>0.29480698443541886</v>
      </c>
      <c r="O55">
        <f t="shared" si="7"/>
        <v>-0.4533444421196931</v>
      </c>
      <c r="P55">
        <f t="shared" si="8"/>
        <v>1.6796392730690288</v>
      </c>
      <c r="Q55">
        <f t="shared" si="9"/>
        <v>0.19722656328363844</v>
      </c>
      <c r="R55">
        <f t="shared" si="10"/>
        <v>0.74815142655511191</v>
      </c>
      <c r="S55">
        <f t="shared" si="11"/>
        <v>0.70503459289078507</v>
      </c>
      <c r="T55" t="s">
        <v>92</v>
      </c>
      <c r="W55" t="s">
        <v>111</v>
      </c>
      <c r="X55">
        <v>0.23468456675343777</v>
      </c>
      <c r="Y55">
        <v>0.15638873354684724</v>
      </c>
    </row>
    <row r="56" spans="1:25" x14ac:dyDescent="0.2">
      <c r="A56" t="s">
        <v>93</v>
      </c>
      <c r="B56" s="1">
        <v>-0.43280772904777559</v>
      </c>
      <c r="C56" s="1">
        <v>-0.81657885684307463</v>
      </c>
      <c r="D56" s="1">
        <v>2.6507392235961036</v>
      </c>
      <c r="E56" s="1">
        <v>1.8945268158054933</v>
      </c>
      <c r="F56" s="1">
        <v>-0.17823849524054344</v>
      </c>
      <c r="G56" s="1">
        <v>0.76118946122054121</v>
      </c>
      <c r="H56" s="2">
        <v>-0.17158442401023855</v>
      </c>
      <c r="I56" s="2">
        <v>-0.57561641343275849</v>
      </c>
      <c r="J56" s="2">
        <v>-0.85516564028233855</v>
      </c>
      <c r="K56" s="2">
        <v>-0.54386950673997847</v>
      </c>
      <c r="L56" s="2">
        <v>-0.37312607934357855</v>
      </c>
      <c r="N56">
        <f t="shared" si="6"/>
        <v>0.64647173658179069</v>
      </c>
      <c r="O56">
        <f t="shared" si="7"/>
        <v>-0.50387241276177852</v>
      </c>
      <c r="P56">
        <f t="shared" si="8"/>
        <v>2.2196683743251402</v>
      </c>
      <c r="Q56">
        <f t="shared" si="9"/>
        <v>9.8165511076943088E-2</v>
      </c>
      <c r="R56">
        <f t="shared" si="10"/>
        <v>1.1503441493435689</v>
      </c>
      <c r="S56">
        <f t="shared" si="11"/>
        <v>1.0080410680161775</v>
      </c>
      <c r="T56" t="s">
        <v>93</v>
      </c>
      <c r="W56" t="s">
        <v>117</v>
      </c>
      <c r="X56">
        <v>-0.15719808726315054</v>
      </c>
      <c r="Y56">
        <v>0.14031863199037647</v>
      </c>
    </row>
    <row r="57" spans="1:25" x14ac:dyDescent="0.2">
      <c r="A57" t="s">
        <v>94</v>
      </c>
      <c r="B57" s="1">
        <v>9.7327544112603026E-2</v>
      </c>
      <c r="C57" s="1">
        <v>0.8651886660740371</v>
      </c>
      <c r="D57" s="1">
        <v>1.7471724627449172</v>
      </c>
      <c r="E57" s="1">
        <v>1.0593338443460871</v>
      </c>
      <c r="F57" s="1">
        <v>1.3921164250044116</v>
      </c>
      <c r="G57" s="1">
        <v>2.4093763361478979</v>
      </c>
      <c r="H57" s="2">
        <v>1.4457044856048129</v>
      </c>
      <c r="I57" s="2">
        <v>1.988874051973887</v>
      </c>
      <c r="J57" s="2">
        <v>0.71998913475382997</v>
      </c>
      <c r="K57" s="2">
        <v>0.14259266290777295</v>
      </c>
      <c r="L57" s="2">
        <v>1.3090599627838668</v>
      </c>
      <c r="N57">
        <f t="shared" si="6"/>
        <v>1.2617525464049923</v>
      </c>
      <c r="O57">
        <f t="shared" si="7"/>
        <v>1.1212440596048339</v>
      </c>
      <c r="P57">
        <f t="shared" si="8"/>
        <v>1.1022935576078932</v>
      </c>
      <c r="Q57">
        <f t="shared" si="9"/>
        <v>0.76328717815773517</v>
      </c>
      <c r="R57">
        <f t="shared" si="10"/>
        <v>0.14050848680015851</v>
      </c>
      <c r="S57">
        <f t="shared" si="11"/>
        <v>0.11731203291790919</v>
      </c>
      <c r="T57" t="s">
        <v>94</v>
      </c>
      <c r="W57" t="s">
        <v>50</v>
      </c>
      <c r="X57">
        <v>0.43128319009452049</v>
      </c>
      <c r="Y57">
        <v>0.12429635927425092</v>
      </c>
    </row>
    <row r="58" spans="1:25" x14ac:dyDescent="0.2">
      <c r="A58" t="s">
        <v>95</v>
      </c>
      <c r="B58" s="1">
        <v>-0.32869366110438963</v>
      </c>
      <c r="C58" s="1">
        <v>-1.0839424358485832</v>
      </c>
      <c r="D58" s="1">
        <v>-0.97884162559809029</v>
      </c>
      <c r="E58" s="1">
        <v>-1.3774641644350112</v>
      </c>
      <c r="F58" s="1">
        <v>-1.1141631311902311</v>
      </c>
      <c r="G58" s="1">
        <v>0.67164581417504654</v>
      </c>
      <c r="H58" s="2">
        <v>-0.6092282641447675</v>
      </c>
      <c r="I58" s="2">
        <v>-0.68875572358116743</v>
      </c>
      <c r="J58" s="2">
        <v>-0.52706793443098543</v>
      </c>
      <c r="K58" s="2">
        <v>-1.5603148754744975</v>
      </c>
      <c r="L58" s="2">
        <v>0.19420230818938755</v>
      </c>
      <c r="N58">
        <f t="shared" si="6"/>
        <v>-0.70190986733354321</v>
      </c>
      <c r="O58">
        <f t="shared" si="7"/>
        <v>-0.63823289788840609</v>
      </c>
      <c r="P58">
        <f t="shared" si="8"/>
        <v>0.95682237402330139</v>
      </c>
      <c r="Q58">
        <f t="shared" si="9"/>
        <v>0.88196409205010684</v>
      </c>
      <c r="R58">
        <f t="shared" si="10"/>
        <v>-6.3676969445137052E-2</v>
      </c>
      <c r="S58">
        <f t="shared" si="11"/>
        <v>5.4549096208256848E-2</v>
      </c>
      <c r="T58" t="s">
        <v>95</v>
      </c>
      <c r="W58" t="s">
        <v>68</v>
      </c>
      <c r="X58">
        <v>0.22687036356882473</v>
      </c>
      <c r="Y58">
        <v>0.12345032520593362</v>
      </c>
    </row>
    <row r="59" spans="1:25" x14ac:dyDescent="0.2">
      <c r="A59" t="s">
        <v>96</v>
      </c>
      <c r="B59" s="1">
        <v>0.55383915026853203</v>
      </c>
      <c r="C59" s="1" t="s">
        <v>67</v>
      </c>
      <c r="D59" s="1">
        <v>1.4496103198849422</v>
      </c>
      <c r="E59" s="1">
        <v>0.43434046121156222</v>
      </c>
      <c r="F59" s="1">
        <v>2.084003367931647</v>
      </c>
      <c r="G59" s="1">
        <v>0.90669654672574607</v>
      </c>
      <c r="H59" s="2">
        <v>3.9130059534741597</v>
      </c>
      <c r="I59" s="2">
        <v>2.9402288213799999</v>
      </c>
      <c r="J59" s="2">
        <v>-0.29318311489909238</v>
      </c>
      <c r="K59" s="2" t="s">
        <v>67</v>
      </c>
      <c r="L59" s="2">
        <v>2.8876494203892995</v>
      </c>
      <c r="N59">
        <f t="shared" si="6"/>
        <v>1.0856979692044857</v>
      </c>
      <c r="O59">
        <f t="shared" si="7"/>
        <v>2.361925270086092</v>
      </c>
      <c r="P59">
        <f t="shared" si="8"/>
        <v>0.41287377785525653</v>
      </c>
      <c r="Q59">
        <f t="shared" si="9"/>
        <v>0.26258295749277666</v>
      </c>
      <c r="R59">
        <f t="shared" si="10"/>
        <v>-1.2762273008816065</v>
      </c>
      <c r="S59">
        <f t="shared" si="11"/>
        <v>0.58073346448808394</v>
      </c>
      <c r="T59" t="s">
        <v>96</v>
      </c>
      <c r="W59" t="s">
        <v>94</v>
      </c>
      <c r="X59">
        <v>0.14050848680015851</v>
      </c>
      <c r="Y59">
        <v>0.11731203291790919</v>
      </c>
    </row>
    <row r="60" spans="1:25" x14ac:dyDescent="0.2">
      <c r="A60" t="s">
        <v>97</v>
      </c>
      <c r="B60" s="1">
        <v>0.28870942682480616</v>
      </c>
      <c r="C60" s="1">
        <v>4.0247215651725519</v>
      </c>
      <c r="D60" s="1">
        <v>1.0659910413104021</v>
      </c>
      <c r="E60" s="1">
        <v>0.38650523110376223</v>
      </c>
      <c r="F60" s="1">
        <v>2.7510526957605568</v>
      </c>
      <c r="G60" s="1">
        <v>3.7491333778238101</v>
      </c>
      <c r="H60" s="2">
        <v>5.783528138041782</v>
      </c>
      <c r="I60" s="2">
        <v>4.2543317555731814</v>
      </c>
      <c r="J60" s="2">
        <v>0.70990046729930889</v>
      </c>
      <c r="K60" s="2">
        <v>1.375966873636767</v>
      </c>
      <c r="L60" s="2">
        <v>2.9316819671348417</v>
      </c>
      <c r="N60">
        <f t="shared" si="6"/>
        <v>2.044352222999315</v>
      </c>
      <c r="O60">
        <f t="shared" si="7"/>
        <v>3.0110818403371766</v>
      </c>
      <c r="P60">
        <f t="shared" si="8"/>
        <v>0.51166461949622299</v>
      </c>
      <c r="Q60">
        <f t="shared" si="9"/>
        <v>0.42721113177895054</v>
      </c>
      <c r="R60">
        <f t="shared" si="10"/>
        <v>-0.96672961733786167</v>
      </c>
      <c r="S60">
        <f t="shared" si="11"/>
        <v>0.36935743948327832</v>
      </c>
      <c r="T60" t="s">
        <v>97</v>
      </c>
      <c r="W60" t="s">
        <v>102</v>
      </c>
      <c r="X60">
        <v>-0.29361037842716242</v>
      </c>
      <c r="Y60">
        <v>0.10444560375783689</v>
      </c>
    </row>
    <row r="61" spans="1:25" x14ac:dyDescent="0.2">
      <c r="A61" t="s">
        <v>98</v>
      </c>
      <c r="B61" s="1">
        <v>0.48141128424368118</v>
      </c>
      <c r="C61" s="1">
        <v>0.40820704045461847</v>
      </c>
      <c r="D61" s="1">
        <v>-0.71483930584674871</v>
      </c>
      <c r="E61" s="1">
        <v>-1.322326994536839</v>
      </c>
      <c r="F61" s="1">
        <v>-0.1243854845368873</v>
      </c>
      <c r="G61" s="1">
        <v>1.2008145634700926</v>
      </c>
      <c r="H61" s="2">
        <v>0.39281168971044883</v>
      </c>
      <c r="I61" s="2">
        <v>0.39834636425111086</v>
      </c>
      <c r="J61" s="2">
        <v>0.95752925571361303</v>
      </c>
      <c r="K61" s="2">
        <v>0.31970432881256589</v>
      </c>
      <c r="L61" s="2">
        <v>1.358643780711583</v>
      </c>
      <c r="N61">
        <f t="shared" si="6"/>
        <v>-1.1853149458680434E-2</v>
      </c>
      <c r="O61">
        <f t="shared" si="7"/>
        <v>0.68540708383986426</v>
      </c>
      <c r="P61">
        <f t="shared" si="8"/>
        <v>0.61674232690384301</v>
      </c>
      <c r="Q61">
        <f t="shared" si="9"/>
        <v>0.13951059730794887</v>
      </c>
      <c r="R61">
        <f t="shared" si="10"/>
        <v>-0.69726023329854458</v>
      </c>
      <c r="S61">
        <f t="shared" si="11"/>
        <v>0.85539280187022526</v>
      </c>
      <c r="T61" t="s">
        <v>98</v>
      </c>
      <c r="W61" t="s">
        <v>100</v>
      </c>
      <c r="X61">
        <v>-0.25413019404538534</v>
      </c>
      <c r="Y61">
        <v>9.1401877373501153E-2</v>
      </c>
    </row>
    <row r="62" spans="1:25" x14ac:dyDescent="0.2">
      <c r="A62" t="s">
        <v>99</v>
      </c>
      <c r="B62" s="1">
        <v>0.20583146784119888</v>
      </c>
      <c r="C62" s="1">
        <v>3.4146830954829057</v>
      </c>
      <c r="D62" s="1">
        <v>1.0439276378441658</v>
      </c>
      <c r="E62" s="1">
        <v>1.7772780389154759</v>
      </c>
      <c r="F62" s="1">
        <v>2.3794402284438001</v>
      </c>
      <c r="G62" s="1">
        <v>1.7228214554097963</v>
      </c>
      <c r="H62" s="2">
        <v>3.7339027785553434</v>
      </c>
      <c r="I62" s="2">
        <v>2.8913479266722435</v>
      </c>
      <c r="J62" s="2">
        <v>0.12451358685617747</v>
      </c>
      <c r="K62" s="2">
        <v>1.6331067594820334</v>
      </c>
      <c r="L62" s="2">
        <v>-0.34679818932477946</v>
      </c>
      <c r="N62">
        <f t="shared" si="6"/>
        <v>1.7573303206562239</v>
      </c>
      <c r="O62">
        <f t="shared" si="7"/>
        <v>1.6072145724482034</v>
      </c>
      <c r="P62">
        <f t="shared" si="8"/>
        <v>1.1096584970014556</v>
      </c>
      <c r="Q62">
        <f t="shared" si="9"/>
        <v>0.87267968598116907</v>
      </c>
      <c r="R62">
        <f t="shared" si="10"/>
        <v>0.15011574820802048</v>
      </c>
      <c r="S62">
        <f t="shared" si="11"/>
        <v>5.9145133313631297E-2</v>
      </c>
      <c r="T62" t="s">
        <v>99</v>
      </c>
      <c r="W62" t="s">
        <v>110</v>
      </c>
      <c r="X62">
        <v>9.6497866481764519E-2</v>
      </c>
      <c r="Y62">
        <v>9.0992269536701656E-2</v>
      </c>
    </row>
    <row r="63" spans="1:25" x14ac:dyDescent="0.2">
      <c r="A63" t="s">
        <v>100</v>
      </c>
      <c r="B63" s="1">
        <v>0.4886159010589497</v>
      </c>
      <c r="C63" s="1">
        <v>1.7538359254529798</v>
      </c>
      <c r="D63" s="1">
        <v>2.9303717112337599</v>
      </c>
      <c r="E63" s="1">
        <v>0.71962714843662967</v>
      </c>
      <c r="F63" s="1">
        <v>2.3362998888080666</v>
      </c>
      <c r="G63" s="1">
        <v>2.7373954194987657</v>
      </c>
      <c r="H63" s="2">
        <v>4.9353461251327007</v>
      </c>
      <c r="I63" s="2">
        <v>3.2240861348334504</v>
      </c>
      <c r="J63" s="2">
        <v>-0.27460391733361955</v>
      </c>
      <c r="K63" s="2">
        <v>0.760166472828116</v>
      </c>
      <c r="L63" s="2">
        <v>1.7641111501739064</v>
      </c>
      <c r="N63">
        <f t="shared" si="6"/>
        <v>1.8276909990815253</v>
      </c>
      <c r="O63">
        <f t="shared" si="7"/>
        <v>2.0818211931269106</v>
      </c>
      <c r="P63">
        <f t="shared" si="8"/>
        <v>0.83849251241387635</v>
      </c>
      <c r="Q63">
        <f t="shared" si="9"/>
        <v>0.81021097658427421</v>
      </c>
      <c r="R63">
        <f t="shared" si="10"/>
        <v>-0.25413019404538534</v>
      </c>
      <c r="S63">
        <f t="shared" si="11"/>
        <v>9.1401877373501153E-2</v>
      </c>
      <c r="T63" t="s">
        <v>100</v>
      </c>
      <c r="W63" t="s">
        <v>124</v>
      </c>
      <c r="X63">
        <v>-8.5616196331966959E-2</v>
      </c>
      <c r="Y63">
        <v>8.9324728454865554E-2</v>
      </c>
    </row>
    <row r="64" spans="1:25" x14ac:dyDescent="0.2">
      <c r="A64" t="s">
        <v>101</v>
      </c>
      <c r="B64" s="1">
        <v>0.24131704390054873</v>
      </c>
      <c r="C64" s="1">
        <v>-0.35689786276563729</v>
      </c>
      <c r="D64" s="1">
        <v>-1.9498107223795762</v>
      </c>
      <c r="E64" s="1">
        <v>-1.7075560246301362</v>
      </c>
      <c r="F64" s="1">
        <v>-0.41589375320825295</v>
      </c>
      <c r="G64" s="1">
        <v>0.29330516151059111</v>
      </c>
      <c r="H64" s="2">
        <v>-1.1509664067178227</v>
      </c>
      <c r="I64" s="2">
        <v>-0.41822174202223772</v>
      </c>
      <c r="J64" s="2">
        <v>0.17006023702843823</v>
      </c>
      <c r="K64" s="2">
        <v>7.1714514706008231E-2</v>
      </c>
      <c r="L64" s="2">
        <v>0.6245084037260672</v>
      </c>
      <c r="N64">
        <f t="shared" si="6"/>
        <v>-0.64925602626207701</v>
      </c>
      <c r="O64">
        <f t="shared" si="7"/>
        <v>-0.14058099865590928</v>
      </c>
      <c r="P64">
        <f t="shared" si="8"/>
        <v>0.70286765581227628</v>
      </c>
      <c r="Q64">
        <f t="shared" si="9"/>
        <v>0.33211875473692581</v>
      </c>
      <c r="R64">
        <f t="shared" si="10"/>
        <v>-0.50867502760616778</v>
      </c>
      <c r="S64">
        <f t="shared" si="11"/>
        <v>0.47870659911171437</v>
      </c>
      <c r="T64" t="s">
        <v>101</v>
      </c>
      <c r="W64" t="s">
        <v>78</v>
      </c>
      <c r="X64">
        <v>-8.7843724624142971E-2</v>
      </c>
      <c r="Y64">
        <v>8.6769987861430753E-2</v>
      </c>
    </row>
    <row r="65" spans="1:25" x14ac:dyDescent="0.2">
      <c r="A65" t="s">
        <v>102</v>
      </c>
      <c r="B65" s="1">
        <v>-0.16292401917065424</v>
      </c>
      <c r="C65" s="1">
        <v>2.3031611451094784</v>
      </c>
      <c r="D65" s="1">
        <v>1.6832396634901887</v>
      </c>
      <c r="E65" s="1">
        <v>-0.11019650007279425</v>
      </c>
      <c r="F65" s="1">
        <v>1.686661355422443</v>
      </c>
      <c r="G65" s="1">
        <v>1.1011317799632607</v>
      </c>
      <c r="H65" s="2">
        <v>4.1899459109779258</v>
      </c>
      <c r="I65" s="2">
        <v>3.011880821902186</v>
      </c>
      <c r="J65" s="2">
        <v>-0.66931723175176439</v>
      </c>
      <c r="K65" s="2">
        <v>-0.10689357964658941</v>
      </c>
      <c r="L65" s="2">
        <v>0.45999715793899154</v>
      </c>
      <c r="N65">
        <f t="shared" si="6"/>
        <v>1.0835122374569872</v>
      </c>
      <c r="O65">
        <f t="shared" si="7"/>
        <v>1.3771226158841496</v>
      </c>
      <c r="P65">
        <f t="shared" si="8"/>
        <v>0.81585779830288874</v>
      </c>
      <c r="Q65">
        <f t="shared" si="9"/>
        <v>0.78623866292749778</v>
      </c>
      <c r="R65">
        <f t="shared" si="10"/>
        <v>-0.29361037842716242</v>
      </c>
      <c r="S65">
        <f t="shared" si="11"/>
        <v>0.10444560375783689</v>
      </c>
      <c r="T65" t="s">
        <v>102</v>
      </c>
      <c r="W65" t="s">
        <v>61</v>
      </c>
      <c r="X65">
        <v>-0.12476466139152745</v>
      </c>
      <c r="Y65">
        <v>7.3213658138856524E-2</v>
      </c>
    </row>
    <row r="66" spans="1:25" x14ac:dyDescent="0.2">
      <c r="A66" t="s">
        <v>103</v>
      </c>
      <c r="B66" s="1">
        <v>-1.4571585978950861</v>
      </c>
      <c r="C66" s="1">
        <v>-0.50209334073415723</v>
      </c>
      <c r="D66" s="1">
        <v>-1.5924912813155851</v>
      </c>
      <c r="E66" s="1">
        <v>-2.3227857704954413</v>
      </c>
      <c r="F66" s="1">
        <v>-1.0253189960542486</v>
      </c>
      <c r="G66" s="1">
        <v>-0.77732312174811868</v>
      </c>
      <c r="H66" s="2">
        <v>-0.46127109451480464</v>
      </c>
      <c r="I66" s="2">
        <v>-1.0644237142188546</v>
      </c>
      <c r="J66" s="2">
        <v>-0.24988701285816473</v>
      </c>
      <c r="K66" s="2">
        <v>0.33155682303067335</v>
      </c>
      <c r="L66" s="2">
        <v>-4.0244174557888646E-2</v>
      </c>
      <c r="N66">
        <f t="shared" si="6"/>
        <v>-1.2795285180404397</v>
      </c>
      <c r="O66">
        <f t="shared" si="7"/>
        <v>-0.29685383462380788</v>
      </c>
      <c r="P66">
        <f t="shared" si="8"/>
        <v>0.50604069591569056</v>
      </c>
      <c r="Q66">
        <f t="shared" si="9"/>
        <v>2.1537941331471265E-2</v>
      </c>
      <c r="R66">
        <f t="shared" si="10"/>
        <v>-0.98267468341663178</v>
      </c>
      <c r="S66">
        <f t="shared" si="11"/>
        <v>1.6667958103746092</v>
      </c>
      <c r="T66" t="s">
        <v>103</v>
      </c>
      <c r="W66" t="s">
        <v>57</v>
      </c>
      <c r="X66">
        <v>-0.13981896255284673</v>
      </c>
      <c r="Y66">
        <v>7.2729748298232172E-2</v>
      </c>
    </row>
    <row r="67" spans="1:25" x14ac:dyDescent="0.2">
      <c r="A67" t="s">
        <v>104</v>
      </c>
      <c r="B67" s="1">
        <v>-0.63625081866143107</v>
      </c>
      <c r="C67" s="1">
        <v>8.9163064253600988E-2</v>
      </c>
      <c r="D67" s="1">
        <v>-0.14100587626472599</v>
      </c>
      <c r="E67" s="1">
        <v>-0.74636965143812595</v>
      </c>
      <c r="F67" s="1">
        <v>-0.42270395458838894</v>
      </c>
      <c r="G67" s="1">
        <v>0.20397866290312749</v>
      </c>
      <c r="H67" s="2">
        <v>-0.63698526620570284</v>
      </c>
      <c r="I67" s="2">
        <v>-7.3746357468538748E-2</v>
      </c>
      <c r="J67" s="2">
        <v>-0.19070442833492274</v>
      </c>
      <c r="K67" s="2">
        <v>-0.67716946929672284</v>
      </c>
      <c r="L67" s="2">
        <v>0.27698516778687421</v>
      </c>
      <c r="N67">
        <f t="shared" si="6"/>
        <v>-0.27553142896599059</v>
      </c>
      <c r="O67">
        <f t="shared" si="7"/>
        <v>-0.26032407070380259</v>
      </c>
      <c r="P67">
        <f t="shared" si="8"/>
        <v>0.98951442348885599</v>
      </c>
      <c r="Q67">
        <f t="shared" si="9"/>
        <v>0.95083014560671408</v>
      </c>
      <c r="R67">
        <f t="shared" si="10"/>
        <v>-1.5207358262188006E-2</v>
      </c>
      <c r="S67">
        <f t="shared" si="11"/>
        <v>2.18970576305333E-2</v>
      </c>
      <c r="T67" t="s">
        <v>104</v>
      </c>
      <c r="W67" t="s">
        <v>89</v>
      </c>
      <c r="X67">
        <v>0.12175774200754383</v>
      </c>
      <c r="Y67">
        <v>6.5936980497513759E-2</v>
      </c>
    </row>
    <row r="68" spans="1:25" x14ac:dyDescent="0.2">
      <c r="A68" t="s">
        <v>105</v>
      </c>
      <c r="B68" s="1">
        <v>0.9664441922436291</v>
      </c>
      <c r="C68" s="1">
        <v>0.54921951370549893</v>
      </c>
      <c r="D68" s="1">
        <v>5.2833290425258195</v>
      </c>
      <c r="E68" s="1">
        <v>4.7359290197720387</v>
      </c>
      <c r="F68" s="1">
        <v>4.2731359453048112</v>
      </c>
      <c r="G68" s="1">
        <v>3.820686780553888</v>
      </c>
      <c r="H68" s="2">
        <v>3.0178809361198464</v>
      </c>
      <c r="I68" s="2">
        <v>2.1111889597036249</v>
      </c>
      <c r="J68" s="2">
        <v>4.1737451509308325</v>
      </c>
      <c r="K68" s="2">
        <v>0.35552023255111243</v>
      </c>
      <c r="L68" s="2">
        <v>3.3686513431043625</v>
      </c>
      <c r="N68">
        <f t="shared" si="6"/>
        <v>3.2714574156842811</v>
      </c>
      <c r="O68">
        <f t="shared" si="7"/>
        <v>2.6053973244819559</v>
      </c>
      <c r="P68">
        <f t="shared" si="8"/>
        <v>1.5867337757164435</v>
      </c>
      <c r="Q68">
        <f t="shared" si="9"/>
        <v>0.54139215764165882</v>
      </c>
      <c r="R68">
        <f t="shared" si="10"/>
        <v>0.66606009120232512</v>
      </c>
      <c r="S68">
        <f t="shared" si="11"/>
        <v>0.26648803951050803</v>
      </c>
      <c r="T68" t="s">
        <v>105</v>
      </c>
      <c r="W68" t="s">
        <v>70</v>
      </c>
      <c r="X68">
        <v>0.15091446615765794</v>
      </c>
      <c r="Y68">
        <v>6.4535080220258015E-2</v>
      </c>
    </row>
    <row r="69" spans="1:25" x14ac:dyDescent="0.2">
      <c r="A69" t="s">
        <v>106</v>
      </c>
      <c r="B69" s="1">
        <v>0.88611850111493262</v>
      </c>
      <c r="C69" s="1">
        <v>0.22313279212991971</v>
      </c>
      <c r="D69" s="1">
        <v>-1.9057697542003973</v>
      </c>
      <c r="E69" s="1">
        <v>-1.5300906101418472</v>
      </c>
      <c r="F69" s="1">
        <v>-0.70650442403082914</v>
      </c>
      <c r="G69" s="1">
        <v>0.80007039140810443</v>
      </c>
      <c r="H69" s="2">
        <v>-0.13729207930486237</v>
      </c>
      <c r="I69" s="2">
        <v>-0.16373807556433734</v>
      </c>
      <c r="J69" s="2">
        <v>0.23849759981359564</v>
      </c>
      <c r="K69" s="2">
        <v>0.41408174198985864</v>
      </c>
      <c r="L69" s="2">
        <v>-0.39669758630616436</v>
      </c>
      <c r="N69">
        <f t="shared" si="6"/>
        <v>-0.37217385062001945</v>
      </c>
      <c r="O69">
        <f t="shared" si="7"/>
        <v>-9.029679874381958E-3</v>
      </c>
      <c r="P69">
        <f t="shared" si="8"/>
        <v>0.77746833838749707</v>
      </c>
      <c r="Q69">
        <f t="shared" si="9"/>
        <v>0.50259380040729917</v>
      </c>
      <c r="R69">
        <f t="shared" si="10"/>
        <v>-0.36314417074563743</v>
      </c>
      <c r="S69">
        <f t="shared" si="11"/>
        <v>0.29878287281766858</v>
      </c>
      <c r="T69" t="s">
        <v>106</v>
      </c>
      <c r="W69" t="s">
        <v>99</v>
      </c>
      <c r="X69">
        <v>0.15011574820802048</v>
      </c>
      <c r="Y69">
        <v>5.9145133313631297E-2</v>
      </c>
    </row>
    <row r="70" spans="1:25" x14ac:dyDescent="0.2">
      <c r="A70" t="s">
        <v>107</v>
      </c>
      <c r="B70" s="1">
        <v>3.2321333480893313</v>
      </c>
      <c r="C70" s="1">
        <v>4.6573507710774003</v>
      </c>
      <c r="D70" s="1">
        <v>4.4697413327038902</v>
      </c>
      <c r="E70" s="1">
        <v>4.0747238782786308</v>
      </c>
      <c r="F70" s="1">
        <v>5.3597412115010723</v>
      </c>
      <c r="G70" s="1">
        <v>4.2922041956878605</v>
      </c>
      <c r="H70" s="2">
        <v>5.9795371342731389</v>
      </c>
      <c r="I70" s="2">
        <v>5.2929888933149085</v>
      </c>
      <c r="J70" s="2">
        <v>0.63386340414351161</v>
      </c>
      <c r="K70" s="2">
        <v>3.9191485877806587</v>
      </c>
      <c r="L70" s="2">
        <v>1.5524966222551033</v>
      </c>
      <c r="N70">
        <f t="shared" si="6"/>
        <v>4.3476491228896981</v>
      </c>
      <c r="O70">
        <f t="shared" si="7"/>
        <v>3.4756069283534634</v>
      </c>
      <c r="P70">
        <f t="shared" si="8"/>
        <v>1.8302518648929766</v>
      </c>
      <c r="Q70">
        <f t="shared" si="9"/>
        <v>0.45769241120584286</v>
      </c>
      <c r="R70">
        <f t="shared" si="10"/>
        <v>0.87204219453623466</v>
      </c>
      <c r="S70">
        <f t="shared" si="11"/>
        <v>0.33942628835650956</v>
      </c>
      <c r="T70" t="s">
        <v>107</v>
      </c>
      <c r="W70" t="s">
        <v>72</v>
      </c>
      <c r="X70">
        <v>-0.1648029381493013</v>
      </c>
      <c r="Y70">
        <v>5.8216749747521973E-2</v>
      </c>
    </row>
    <row r="71" spans="1:25" x14ac:dyDescent="0.2">
      <c r="A71" t="s">
        <v>108</v>
      </c>
      <c r="B71" s="1">
        <v>-0.81379427557391315</v>
      </c>
      <c r="C71" s="1">
        <v>-0.56328114947534713</v>
      </c>
      <c r="D71" s="1">
        <v>-3.1705368987134914</v>
      </c>
      <c r="E71" s="1">
        <v>-1.837965714825001</v>
      </c>
      <c r="F71" s="1">
        <v>-0.78757596388164774</v>
      </c>
      <c r="G71" s="1">
        <v>-1.508484331794679</v>
      </c>
      <c r="H71" s="2">
        <v>-0.16247561100815983</v>
      </c>
      <c r="I71" s="2">
        <v>-0.71132408109968315</v>
      </c>
      <c r="J71" s="2">
        <v>-0.83219366989297816</v>
      </c>
      <c r="K71" s="2">
        <v>-0.68589868192864312</v>
      </c>
      <c r="L71" s="2">
        <v>-0.45784284650750612</v>
      </c>
      <c r="N71">
        <f t="shared" si="6"/>
        <v>-1.4469397223773466</v>
      </c>
      <c r="O71">
        <f t="shared" si="7"/>
        <v>-0.56994697808739414</v>
      </c>
      <c r="P71">
        <f t="shared" si="8"/>
        <v>0.54450124610765116</v>
      </c>
      <c r="Q71">
        <f t="shared" si="9"/>
        <v>8.0009528799958707E-2</v>
      </c>
      <c r="R71">
        <f t="shared" si="10"/>
        <v>-0.87699274428995222</v>
      </c>
      <c r="S71">
        <f t="shared" si="11"/>
        <v>1.0968582872730059</v>
      </c>
      <c r="T71" t="s">
        <v>108</v>
      </c>
      <c r="W71" t="s">
        <v>55</v>
      </c>
      <c r="X71">
        <v>-0.11403001693729492</v>
      </c>
      <c r="Y71">
        <v>5.500757494784872E-2</v>
      </c>
    </row>
    <row r="72" spans="1:25" x14ac:dyDescent="0.2">
      <c r="A72" t="s">
        <v>109</v>
      </c>
      <c r="B72" s="1">
        <v>-0.32208314446933439</v>
      </c>
      <c r="C72" s="1">
        <v>-1.5868841445812001</v>
      </c>
      <c r="D72" s="1">
        <v>0.25111378963040287</v>
      </c>
      <c r="E72" s="1">
        <v>0.44004362488494186</v>
      </c>
      <c r="F72" s="1">
        <v>-0.81134677017023116</v>
      </c>
      <c r="G72" s="1">
        <v>0.47344543058385091</v>
      </c>
      <c r="H72" s="2">
        <v>-0.23725274119341414</v>
      </c>
      <c r="I72" s="2">
        <v>-0.38233267500998813</v>
      </c>
      <c r="J72" s="2">
        <v>2.722750165122706E-2</v>
      </c>
      <c r="K72" s="2">
        <v>-0.16365981289713613</v>
      </c>
      <c r="L72" s="2">
        <v>0.55953286441154482</v>
      </c>
      <c r="N72">
        <f t="shared" si="6"/>
        <v>-0.25928520235359503</v>
      </c>
      <c r="O72">
        <f t="shared" si="7"/>
        <v>-3.9296972607553292E-2</v>
      </c>
      <c r="P72">
        <f t="shared" si="8"/>
        <v>0.85857244108819153</v>
      </c>
      <c r="Q72">
        <f t="shared" si="9"/>
        <v>0.57286664531915643</v>
      </c>
      <c r="R72">
        <f t="shared" si="10"/>
        <v>-0.21998822974604193</v>
      </c>
      <c r="S72">
        <f t="shared" si="11"/>
        <v>0.24194646344691087</v>
      </c>
      <c r="T72" t="s">
        <v>109</v>
      </c>
      <c r="W72" t="s">
        <v>95</v>
      </c>
      <c r="X72">
        <v>-6.3676969445137052E-2</v>
      </c>
      <c r="Y72">
        <v>5.4549096208256848E-2</v>
      </c>
    </row>
    <row r="73" spans="1:25" x14ac:dyDescent="0.2">
      <c r="A73" t="s">
        <v>110</v>
      </c>
      <c r="B73" s="1">
        <v>-0.72652347320735622</v>
      </c>
      <c r="C73" s="1">
        <v>-1.0878764993891412</v>
      </c>
      <c r="D73" s="1">
        <v>0.58110443732948669</v>
      </c>
      <c r="E73" s="1">
        <v>-1.0322214954687783</v>
      </c>
      <c r="F73" s="1">
        <v>-0.95637415814811333</v>
      </c>
      <c r="G73" s="1">
        <v>0.28957741160907013</v>
      </c>
      <c r="H73" s="2">
        <v>-0.69437481771068432</v>
      </c>
      <c r="I73" s="2">
        <v>9.8525260410320725E-2</v>
      </c>
      <c r="J73" s="2">
        <v>-0.42721084232752427</v>
      </c>
      <c r="K73" s="2">
        <v>-1.4565566294922943</v>
      </c>
      <c r="L73" s="2">
        <v>-0.44646711768433422</v>
      </c>
      <c r="N73">
        <f t="shared" si="6"/>
        <v>-0.4887189628791388</v>
      </c>
      <c r="O73">
        <f t="shared" si="7"/>
        <v>-0.58521682936090325</v>
      </c>
      <c r="P73">
        <f t="shared" si="8"/>
        <v>1.0691748941949253</v>
      </c>
      <c r="Q73">
        <f t="shared" si="9"/>
        <v>0.81097549312932982</v>
      </c>
      <c r="R73">
        <f t="shared" si="10"/>
        <v>9.6497866481764519E-2</v>
      </c>
      <c r="S73">
        <f t="shared" si="11"/>
        <v>9.0992269536701656E-2</v>
      </c>
      <c r="T73" t="s">
        <v>110</v>
      </c>
      <c r="W73" t="s">
        <v>58</v>
      </c>
      <c r="X73">
        <v>7.2638257049781149E-2</v>
      </c>
      <c r="Y73">
        <v>5.2749712458189435E-2</v>
      </c>
    </row>
    <row r="74" spans="1:25" x14ac:dyDescent="0.2">
      <c r="A74" t="s">
        <v>111</v>
      </c>
      <c r="B74" s="1">
        <v>1.4218267004843226</v>
      </c>
      <c r="C74" s="1">
        <v>-1.7976090032072474</v>
      </c>
      <c r="D74" s="1">
        <v>0.12698078041301752</v>
      </c>
      <c r="E74" s="1">
        <v>1.4005459217111025</v>
      </c>
      <c r="F74" s="1">
        <v>-0.166775530574377</v>
      </c>
      <c r="G74" s="1">
        <v>0.51352908425116284</v>
      </c>
      <c r="H74" s="2">
        <v>-0.84030011613982225</v>
      </c>
      <c r="I74" s="2">
        <v>0.32077606961345373</v>
      </c>
      <c r="J74" s="2">
        <v>-0.34536421840339027</v>
      </c>
      <c r="K74" s="2">
        <v>1.0491721253146737</v>
      </c>
      <c r="L74" s="2">
        <v>-0.10895839992045225</v>
      </c>
      <c r="N74">
        <f t="shared" si="6"/>
        <v>0.24974965884633016</v>
      </c>
      <c r="O74">
        <f t="shared" si="7"/>
        <v>1.506509209289254E-2</v>
      </c>
      <c r="P74">
        <f t="shared" si="8"/>
        <v>1.176649444498072</v>
      </c>
      <c r="Q74">
        <f t="shared" si="9"/>
        <v>0.69760770141409179</v>
      </c>
      <c r="R74">
        <f t="shared" si="10"/>
        <v>0.23468456675343777</v>
      </c>
      <c r="S74">
        <f t="shared" si="11"/>
        <v>0.15638873354684724</v>
      </c>
      <c r="T74" t="s">
        <v>111</v>
      </c>
      <c r="W74" t="s">
        <v>81</v>
      </c>
      <c r="X74">
        <v>-0.10065084761991643</v>
      </c>
      <c r="Y74">
        <v>4.796452788730015E-2</v>
      </c>
    </row>
    <row r="75" spans="1:25" x14ac:dyDescent="0.2">
      <c r="A75" t="s">
        <v>112</v>
      </c>
      <c r="B75" s="1">
        <v>-6.734735928861485E-2</v>
      </c>
      <c r="C75" s="1">
        <v>-1.013860588746037</v>
      </c>
      <c r="D75" s="1">
        <v>1.3756607067986333</v>
      </c>
      <c r="E75" s="1">
        <v>-0.81457598011261678</v>
      </c>
      <c r="F75" s="1">
        <v>-0.73550309842243289</v>
      </c>
      <c r="G75" s="1">
        <v>-0.93171920737832892</v>
      </c>
      <c r="H75" s="2">
        <v>-0.71699230984270323</v>
      </c>
      <c r="I75" s="2">
        <v>-1.2794582306212994</v>
      </c>
      <c r="J75" s="2">
        <v>-1.5049574981756382</v>
      </c>
      <c r="K75" s="2">
        <v>-1.0101277130199371</v>
      </c>
      <c r="L75" s="2">
        <v>9.4027403299972834E-2</v>
      </c>
      <c r="N75">
        <f t="shared" si="6"/>
        <v>-0.36455758785823283</v>
      </c>
      <c r="O75">
        <f t="shared" si="7"/>
        <v>-0.88350166967192101</v>
      </c>
      <c r="P75">
        <f t="shared" si="8"/>
        <v>1.4329061105248169</v>
      </c>
      <c r="Q75">
        <f t="shared" si="9"/>
        <v>0.29516301245173238</v>
      </c>
      <c r="R75">
        <f t="shared" si="10"/>
        <v>0.51894408181368812</v>
      </c>
      <c r="S75">
        <f t="shared" si="11"/>
        <v>0.52993806586846026</v>
      </c>
      <c r="T75" t="s">
        <v>112</v>
      </c>
      <c r="W75" t="s">
        <v>123</v>
      </c>
      <c r="X75">
        <v>-2.7235435794751187E-2</v>
      </c>
      <c r="Y75">
        <v>2.2982866443035273E-2</v>
      </c>
    </row>
    <row r="76" spans="1:25" x14ac:dyDescent="0.2">
      <c r="A76" t="s">
        <v>113</v>
      </c>
      <c r="B76" s="1">
        <v>5.2885446321413607E-2</v>
      </c>
      <c r="C76" s="1">
        <v>-1.1400209475511636</v>
      </c>
      <c r="D76" s="1">
        <v>-0.90367638325001864</v>
      </c>
      <c r="E76" s="1">
        <v>-0.37637164240793369</v>
      </c>
      <c r="F76" s="1">
        <v>-0.43500163238037565</v>
      </c>
      <c r="G76" s="1">
        <v>-0.92990806735039211</v>
      </c>
      <c r="H76" s="2">
        <v>0.25457383994431643</v>
      </c>
      <c r="I76" s="2">
        <v>-0.70751480633901354</v>
      </c>
      <c r="J76" s="2">
        <v>-1.0174941785890326</v>
      </c>
      <c r="K76" s="2">
        <v>-0.9164167288734375</v>
      </c>
      <c r="L76" s="2">
        <v>3.6961429793005485E-2</v>
      </c>
      <c r="N76">
        <f t="shared" ref="N76:N89" si="12">AVERAGE(B76:G76)</f>
        <v>-0.62201553776974505</v>
      </c>
      <c r="O76">
        <f t="shared" ref="O76:O89" si="13">AVERAGE(H76:L76)</f>
        <v>-0.46997808881283232</v>
      </c>
      <c r="P76">
        <f t="shared" ref="P76:P89" si="14">2^(N76 - O76)</f>
        <v>0.89997856817161781</v>
      </c>
      <c r="Q76">
        <f t="shared" ref="Q76:Q89" si="15">_xlfn.T.TEST(B76:G76,H76:L76, 2, 3)</f>
        <v>0.64439480422529472</v>
      </c>
      <c r="R76">
        <f t="shared" ref="R76:R89" si="16">LOG(P76,2)</f>
        <v>-0.1520374489569126</v>
      </c>
      <c r="S76">
        <f t="shared" ref="S76:S89" si="17">-LOG(Q76,10)</f>
        <v>0.1908479699681839</v>
      </c>
      <c r="T76" t="s">
        <v>113</v>
      </c>
      <c r="W76" t="s">
        <v>104</v>
      </c>
      <c r="X76">
        <v>-1.5207358262188006E-2</v>
      </c>
      <c r="Y76">
        <v>2.18970576305333E-2</v>
      </c>
    </row>
    <row r="77" spans="1:25" x14ac:dyDescent="0.2">
      <c r="A77" t="s">
        <v>114</v>
      </c>
      <c r="B77" s="1">
        <v>0.23873028535750329</v>
      </c>
      <c r="C77" s="1">
        <v>-1.5580472643041952</v>
      </c>
      <c r="D77" s="1">
        <v>-0.14022221575523119</v>
      </c>
      <c r="E77" s="1">
        <v>0.65649291122402675</v>
      </c>
      <c r="F77" s="1">
        <v>-0.50998406628126491</v>
      </c>
      <c r="G77" s="1">
        <v>0.20114187914863207</v>
      </c>
      <c r="H77" s="2">
        <v>-0.72004388555873999</v>
      </c>
      <c r="I77" s="2">
        <v>-1.021369781535336</v>
      </c>
      <c r="J77" s="2">
        <v>-0.20914690941911102</v>
      </c>
      <c r="K77" s="2">
        <v>-1.0263399874430661</v>
      </c>
      <c r="L77" s="2">
        <v>-0.232271380185404</v>
      </c>
      <c r="N77">
        <f t="shared" si="12"/>
        <v>-0.18531474510175483</v>
      </c>
      <c r="O77">
        <f t="shared" si="13"/>
        <v>-0.64183438882833133</v>
      </c>
      <c r="P77">
        <f t="shared" si="14"/>
        <v>1.3722274616257828</v>
      </c>
      <c r="Q77">
        <f t="shared" si="15"/>
        <v>0.24816320621781698</v>
      </c>
      <c r="R77">
        <f t="shared" si="16"/>
        <v>0.45651964372657639</v>
      </c>
      <c r="S77">
        <f t="shared" si="17"/>
        <v>0.60526260849843194</v>
      </c>
      <c r="T77" t="s">
        <v>114</v>
      </c>
      <c r="W77" t="s">
        <v>120</v>
      </c>
      <c r="X77">
        <v>-3.1178165666794263E-2</v>
      </c>
      <c r="Y77">
        <v>2.0240621915644141E-2</v>
      </c>
    </row>
    <row r="78" spans="1:25" x14ac:dyDescent="0.2">
      <c r="A78" t="s">
        <v>115</v>
      </c>
      <c r="B78" s="1">
        <v>-9.233693183834879E-3</v>
      </c>
      <c r="C78" s="1">
        <v>-1.131170993885724</v>
      </c>
      <c r="D78" s="1">
        <v>-1.064084003991314</v>
      </c>
      <c r="E78" s="1">
        <v>-0.21394145138215687</v>
      </c>
      <c r="F78" s="1">
        <v>-1.0219261049565183</v>
      </c>
      <c r="G78" s="1">
        <v>-9.1652448033797351E-2</v>
      </c>
      <c r="H78" s="2">
        <v>-0.1537557708318058</v>
      </c>
      <c r="I78" s="2">
        <v>-0.47821251388453934</v>
      </c>
      <c r="J78" s="2">
        <v>-0.55272851084874886</v>
      </c>
      <c r="K78" s="2">
        <v>-0.96150824317259176</v>
      </c>
      <c r="L78" s="2">
        <v>-0.2136361161476408</v>
      </c>
      <c r="N78">
        <f t="shared" si="12"/>
        <v>-0.58866811590555757</v>
      </c>
      <c r="O78">
        <f t="shared" si="13"/>
        <v>-0.47196823097706531</v>
      </c>
      <c r="P78">
        <f t="shared" si="14"/>
        <v>0.92229495736676637</v>
      </c>
      <c r="Q78">
        <f t="shared" si="15"/>
        <v>0.66686541832187229</v>
      </c>
      <c r="R78">
        <f t="shared" si="16"/>
        <v>-0.11669988492849212</v>
      </c>
      <c r="S78">
        <f t="shared" si="17"/>
        <v>0.17596180323120467</v>
      </c>
      <c r="T78" t="s">
        <v>115</v>
      </c>
      <c r="W78" t="s">
        <v>51</v>
      </c>
      <c r="X78">
        <v>-4.8891571361636427E-3</v>
      </c>
      <c r="Y78">
        <v>3.4270144965455598E-3</v>
      </c>
    </row>
    <row r="79" spans="1:25" x14ac:dyDescent="0.2">
      <c r="A79" t="s">
        <v>116</v>
      </c>
      <c r="B79" s="1">
        <v>0.16230352493384612</v>
      </c>
      <c r="C79" s="1">
        <v>-0.77589607055756282</v>
      </c>
      <c r="D79" s="1">
        <v>2.1241445218708233</v>
      </c>
      <c r="E79" s="1">
        <v>0.44669824944076519</v>
      </c>
      <c r="F79" s="1">
        <v>0.87028270773829508</v>
      </c>
      <c r="G79" s="1">
        <v>-0.17738986705368776</v>
      </c>
      <c r="H79" s="2">
        <v>-1.0312790940934942</v>
      </c>
      <c r="I79" s="2">
        <v>-0.62334217553648419</v>
      </c>
      <c r="J79" s="2">
        <v>0.7144596957666719</v>
      </c>
      <c r="K79" s="2">
        <v>0.48521377611287575</v>
      </c>
      <c r="L79" s="2">
        <v>0.47159186373103079</v>
      </c>
      <c r="N79">
        <f t="shared" si="12"/>
        <v>0.4416905110620799</v>
      </c>
      <c r="O79">
        <f t="shared" si="13"/>
        <v>3.3288131961199952E-3</v>
      </c>
      <c r="P79">
        <f t="shared" si="14"/>
        <v>1.3550646629688692</v>
      </c>
      <c r="Q79">
        <f t="shared" si="15"/>
        <v>0.43382701724719963</v>
      </c>
      <c r="R79">
        <f t="shared" si="16"/>
        <v>0.43836169786595997</v>
      </c>
      <c r="S79">
        <f t="shared" si="17"/>
        <v>0.36268340512033093</v>
      </c>
      <c r="T79" t="s">
        <v>116</v>
      </c>
      <c r="W79" t="s">
        <v>88</v>
      </c>
      <c r="X79">
        <v>-6.4013735095561032E-3</v>
      </c>
      <c r="Y79">
        <v>3.2710794268076301E-3</v>
      </c>
    </row>
    <row r="80" spans="1:25" x14ac:dyDescent="0.2">
      <c r="A80" t="s">
        <v>117</v>
      </c>
      <c r="B80" s="1">
        <v>0.99539154956342668</v>
      </c>
      <c r="C80" s="1">
        <v>0.36019982275438467</v>
      </c>
      <c r="D80" s="1">
        <v>2.6940226382561168</v>
      </c>
      <c r="E80" s="1">
        <v>0.81521252661973365</v>
      </c>
      <c r="F80" s="1">
        <v>1.3687713617517805</v>
      </c>
      <c r="G80" s="1">
        <v>0.74106329071503518</v>
      </c>
      <c r="H80" s="2">
        <v>2.2378121896404699</v>
      </c>
      <c r="I80" s="2">
        <v>1.40939981404551</v>
      </c>
      <c r="J80" s="2">
        <v>1.41568362010284</v>
      </c>
      <c r="K80" s="2">
        <v>0.69840338470494978</v>
      </c>
      <c r="L80" s="2">
        <v>0.83690908587237978</v>
      </c>
      <c r="N80">
        <f t="shared" si="12"/>
        <v>1.1624435316100794</v>
      </c>
      <c r="O80">
        <f t="shared" si="13"/>
        <v>1.3196416188732298</v>
      </c>
      <c r="P80">
        <f t="shared" si="14"/>
        <v>0.89676502211763021</v>
      </c>
      <c r="Q80">
        <f t="shared" si="15"/>
        <v>0.72390465280451588</v>
      </c>
      <c r="R80">
        <f t="shared" si="16"/>
        <v>-0.15719808726315054</v>
      </c>
      <c r="S80">
        <f t="shared" si="17"/>
        <v>0.14031863199037647</v>
      </c>
      <c r="T80" t="s">
        <v>117</v>
      </c>
    </row>
    <row r="81" spans="1:20" x14ac:dyDescent="0.2">
      <c r="A81" t="s">
        <v>118</v>
      </c>
      <c r="B81" s="1">
        <v>0.50710404488234562</v>
      </c>
      <c r="C81" s="1">
        <v>-0.53034530251128442</v>
      </c>
      <c r="D81" s="1">
        <v>-0.24948172996820339</v>
      </c>
      <c r="E81" s="1">
        <v>0.97397852436822663</v>
      </c>
      <c r="F81" s="1">
        <v>-6.3571049246959221E-2</v>
      </c>
      <c r="G81" s="1">
        <v>0.90125693448158783</v>
      </c>
      <c r="H81" s="2">
        <v>0.90464807372002931</v>
      </c>
      <c r="I81" s="2">
        <v>8.8061373289863187E-2</v>
      </c>
      <c r="J81" s="2">
        <v>0.9867191340037893</v>
      </c>
      <c r="K81" s="2">
        <v>-0.59674749327400478</v>
      </c>
      <c r="L81" s="2">
        <v>2.4133969922078391</v>
      </c>
      <c r="N81">
        <f t="shared" si="12"/>
        <v>0.25649023700095214</v>
      </c>
      <c r="O81">
        <f t="shared" si="13"/>
        <v>0.75921561598950327</v>
      </c>
      <c r="P81">
        <f t="shared" si="14"/>
        <v>0.70577225462919813</v>
      </c>
      <c r="Q81">
        <f t="shared" si="15"/>
        <v>0.40875311805218378</v>
      </c>
      <c r="R81">
        <f t="shared" si="16"/>
        <v>-0.50272537898855096</v>
      </c>
      <c r="S81">
        <f t="shared" si="17"/>
        <v>0.38853892143210317</v>
      </c>
      <c r="T81" t="s">
        <v>118</v>
      </c>
    </row>
    <row r="82" spans="1:20" x14ac:dyDescent="0.2">
      <c r="A82" t="s">
        <v>119</v>
      </c>
      <c r="B82" s="1">
        <v>-0.76328221861212109</v>
      </c>
      <c r="C82" s="1">
        <v>-1.153230332301435</v>
      </c>
      <c r="D82" s="1">
        <v>-1.0556078439261124E-2</v>
      </c>
      <c r="E82" s="1">
        <v>1.3304484454828847E-3</v>
      </c>
      <c r="F82" s="1">
        <v>-0.73928247575122641</v>
      </c>
      <c r="G82" s="1">
        <v>1.1569789254348111</v>
      </c>
      <c r="H82" s="2">
        <v>0.69623870829310985</v>
      </c>
      <c r="I82" s="2">
        <v>-0.15043080398458603</v>
      </c>
      <c r="J82" s="2">
        <v>-0.85158756423990711</v>
      </c>
      <c r="K82" s="2">
        <v>-2.5257326218624092</v>
      </c>
      <c r="L82" s="2">
        <v>-1.2806864502412292</v>
      </c>
      <c r="N82">
        <f t="shared" si="12"/>
        <v>-0.25134028853729157</v>
      </c>
      <c r="O82">
        <f t="shared" si="13"/>
        <v>-0.82243974640700446</v>
      </c>
      <c r="P82">
        <f t="shared" si="14"/>
        <v>1.4856553366376124</v>
      </c>
      <c r="Q82">
        <f t="shared" si="15"/>
        <v>0.40117320035229365</v>
      </c>
      <c r="R82">
        <f t="shared" si="16"/>
        <v>0.57109945786971295</v>
      </c>
      <c r="S82">
        <f t="shared" si="17"/>
        <v>0.39666808693742767</v>
      </c>
      <c r="T82" t="s">
        <v>119</v>
      </c>
    </row>
    <row r="83" spans="1:20" x14ac:dyDescent="0.2">
      <c r="A83" t="s">
        <v>120</v>
      </c>
      <c r="B83" s="1">
        <v>-3.057950757097502E-2</v>
      </c>
      <c r="C83" s="1">
        <v>-1.1406775831788845</v>
      </c>
      <c r="D83" s="1">
        <v>1.5973341289031655</v>
      </c>
      <c r="E83" s="1">
        <v>-0.18151250477414149</v>
      </c>
      <c r="F83" s="1">
        <v>-0.1223611003061813</v>
      </c>
      <c r="G83" s="1">
        <v>0.77361726165086198</v>
      </c>
      <c r="H83" s="2">
        <v>1.4427030300760002</v>
      </c>
      <c r="I83" s="2">
        <v>-0.40247963832202482</v>
      </c>
      <c r="J83" s="2">
        <v>9.2151312413561448E-3</v>
      </c>
      <c r="K83" s="2">
        <v>-0.63725481287526986</v>
      </c>
      <c r="L83" s="2">
        <v>0.49022436381711315</v>
      </c>
      <c r="N83">
        <f t="shared" si="12"/>
        <v>0.14930344912064089</v>
      </c>
      <c r="O83">
        <f t="shared" si="13"/>
        <v>0.18048161478743499</v>
      </c>
      <c r="P83">
        <f t="shared" si="14"/>
        <v>0.9786207881314366</v>
      </c>
      <c r="Q83">
        <f t="shared" si="15"/>
        <v>0.95446361660470802</v>
      </c>
      <c r="R83">
        <f t="shared" si="16"/>
        <v>-3.1178165666794263E-2</v>
      </c>
      <c r="S83">
        <f t="shared" si="17"/>
        <v>2.0240621915644141E-2</v>
      </c>
      <c r="T83" t="s">
        <v>120</v>
      </c>
    </row>
    <row r="84" spans="1:20" x14ac:dyDescent="0.2">
      <c r="A84" t="s">
        <v>121</v>
      </c>
      <c r="B84" s="1">
        <v>1.7612222969840223</v>
      </c>
      <c r="C84" s="1">
        <v>0.84339950620601245</v>
      </c>
      <c r="D84" s="1">
        <v>3.9361463250155522</v>
      </c>
      <c r="E84" s="1">
        <v>2.2125819999305025</v>
      </c>
      <c r="F84" s="1">
        <v>2.5306017109174315</v>
      </c>
      <c r="G84" s="1">
        <v>3.0068546656254371</v>
      </c>
      <c r="H84" s="2">
        <v>4.8225121089180112</v>
      </c>
      <c r="I84" s="2">
        <v>4.5345664859183206</v>
      </c>
      <c r="J84" s="2">
        <v>3.4976621514804309</v>
      </c>
      <c r="K84" s="2">
        <v>0.80570801229431388</v>
      </c>
      <c r="L84" s="2">
        <v>2.6963153708995509</v>
      </c>
      <c r="N84">
        <f t="shared" si="12"/>
        <v>2.3818010841131598</v>
      </c>
      <c r="O84">
        <f t="shared" si="13"/>
        <v>3.2713528259021252</v>
      </c>
      <c r="P84">
        <f t="shared" si="14"/>
        <v>0.5397818072193703</v>
      </c>
      <c r="Q84">
        <f t="shared" si="15"/>
        <v>0.32778693703929296</v>
      </c>
      <c r="R84">
        <f t="shared" si="16"/>
        <v>-0.88955174178896523</v>
      </c>
      <c r="S84">
        <f t="shared" si="17"/>
        <v>0.48440835791864501</v>
      </c>
      <c r="T84" t="s">
        <v>121</v>
      </c>
    </row>
    <row r="85" spans="1:20" x14ac:dyDescent="0.2">
      <c r="A85" t="s">
        <v>122</v>
      </c>
      <c r="B85" s="1">
        <v>0.42932222650476437</v>
      </c>
      <c r="C85" s="1">
        <v>-1.1527641350541726</v>
      </c>
      <c r="D85" s="1">
        <v>-0.13162962094387765</v>
      </c>
      <c r="E85" s="1">
        <v>0.86356694936718836</v>
      </c>
      <c r="F85" s="1">
        <v>0.28577584331142303</v>
      </c>
      <c r="G85" s="1">
        <v>0.49115294410673616</v>
      </c>
      <c r="H85" s="2">
        <v>-0.95016607122660113</v>
      </c>
      <c r="I85" s="2">
        <v>-1.2729012474249932</v>
      </c>
      <c r="J85" s="2">
        <v>0.96562918630016092</v>
      </c>
      <c r="K85" s="2">
        <v>-0.40746650515925154</v>
      </c>
      <c r="L85" s="2">
        <v>0.4944081290362829</v>
      </c>
      <c r="N85">
        <f t="shared" si="12"/>
        <v>0.13090403454867694</v>
      </c>
      <c r="O85">
        <f t="shared" si="13"/>
        <v>-0.23409930169488041</v>
      </c>
      <c r="P85">
        <f t="shared" si="14"/>
        <v>1.2878846077496027</v>
      </c>
      <c r="Q85">
        <f t="shared" si="15"/>
        <v>0.49855797347623421</v>
      </c>
      <c r="R85">
        <f t="shared" si="16"/>
        <v>0.36500333624355735</v>
      </c>
      <c r="S85">
        <f t="shared" si="17"/>
        <v>0.30228433364737867</v>
      </c>
      <c r="T85" t="s">
        <v>122</v>
      </c>
    </row>
    <row r="86" spans="1:20" x14ac:dyDescent="0.2">
      <c r="A86" t="s">
        <v>123</v>
      </c>
      <c r="B86" s="1">
        <v>0.69562855049914818</v>
      </c>
      <c r="C86" s="1">
        <v>-0.64878822749124987</v>
      </c>
      <c r="D86" s="1">
        <v>-1.0310264055093197</v>
      </c>
      <c r="E86" s="1">
        <v>-5.4475705440633848E-2</v>
      </c>
      <c r="F86" s="1">
        <v>0.48686902933427417</v>
      </c>
      <c r="G86" s="1">
        <v>0.27390187668399235</v>
      </c>
      <c r="H86" s="2">
        <v>-0.91562986655673118</v>
      </c>
      <c r="I86" s="2">
        <v>-6.0536204843203767E-2</v>
      </c>
      <c r="J86" s="2">
        <v>0.86830134527469416</v>
      </c>
      <c r="K86" s="2">
        <v>0.35403404342533418</v>
      </c>
      <c r="L86" s="2">
        <v>-0.34156787326282778</v>
      </c>
      <c r="N86">
        <f t="shared" si="12"/>
        <v>-4.6315146987298127E-2</v>
      </c>
      <c r="O86">
        <f t="shared" si="13"/>
        <v>-1.9079711192546877E-2</v>
      </c>
      <c r="P86">
        <f t="shared" si="14"/>
        <v>0.98129891099040389</v>
      </c>
      <c r="Q86">
        <f t="shared" si="15"/>
        <v>0.94845588054423691</v>
      </c>
      <c r="R86">
        <f t="shared" si="16"/>
        <v>-2.7235435794751187E-2</v>
      </c>
      <c r="S86">
        <f t="shared" si="17"/>
        <v>2.2982866443035273E-2</v>
      </c>
      <c r="T86" t="s">
        <v>123</v>
      </c>
    </row>
    <row r="87" spans="1:20" x14ac:dyDescent="0.2">
      <c r="A87" t="s">
        <v>124</v>
      </c>
      <c r="B87" s="1">
        <v>-0.49386134877214627</v>
      </c>
      <c r="C87" s="1">
        <v>-0.91846226337282222</v>
      </c>
      <c r="D87" s="1">
        <v>-0.83711995502211434</v>
      </c>
      <c r="E87" s="1">
        <v>-1.2391208484931724</v>
      </c>
      <c r="F87" s="1">
        <v>-0.71112146671987042</v>
      </c>
      <c r="G87" s="1">
        <v>-0.10548554357305429</v>
      </c>
      <c r="H87" s="2">
        <v>-1.2537467498604948</v>
      </c>
      <c r="I87" s="2">
        <v>-1.0168736252636088</v>
      </c>
      <c r="J87" s="2">
        <v>0.33802204747411124</v>
      </c>
      <c r="K87" s="2">
        <v>-0.13818605596452982</v>
      </c>
      <c r="L87" s="2">
        <v>-1.0887774896866267</v>
      </c>
      <c r="N87">
        <f t="shared" si="12"/>
        <v>-0.71752857099219669</v>
      </c>
      <c r="O87">
        <f t="shared" si="13"/>
        <v>-0.63191237466022976</v>
      </c>
      <c r="P87">
        <f t="shared" si="14"/>
        <v>0.9423819447191526</v>
      </c>
      <c r="Q87">
        <f t="shared" si="15"/>
        <v>0.81409534517373072</v>
      </c>
      <c r="R87">
        <f t="shared" si="16"/>
        <v>-8.5616196331966959E-2</v>
      </c>
      <c r="S87">
        <f t="shared" si="17"/>
        <v>8.9324728454865554E-2</v>
      </c>
      <c r="T87" t="s">
        <v>124</v>
      </c>
    </row>
    <row r="88" spans="1:20" x14ac:dyDescent="0.2">
      <c r="A88" t="s">
        <v>125</v>
      </c>
      <c r="B88" s="1">
        <v>0.5010817165825614</v>
      </c>
      <c r="C88" s="1">
        <v>-5.0160340894338407E-2</v>
      </c>
      <c r="D88" s="1">
        <v>3.9040901475606016E-3</v>
      </c>
      <c r="E88" s="1">
        <v>0.73102292289556958</v>
      </c>
      <c r="F88" s="1">
        <v>-0.41975589092939852</v>
      </c>
      <c r="G88" s="1">
        <v>0.4816548083121176</v>
      </c>
      <c r="H88" s="2">
        <v>-1.6613505712809908</v>
      </c>
      <c r="I88" s="2">
        <v>-0.83322261782286011</v>
      </c>
      <c r="J88" s="2">
        <v>0.49287246105708515</v>
      </c>
      <c r="K88" s="2">
        <v>0.46697295851130516</v>
      </c>
      <c r="L88" s="2">
        <v>-0.7931717997809018</v>
      </c>
      <c r="N88">
        <f t="shared" si="12"/>
        <v>0.20795788435234538</v>
      </c>
      <c r="O88">
        <f t="shared" si="13"/>
        <v>-0.46557991386327247</v>
      </c>
      <c r="P88">
        <f t="shared" si="14"/>
        <v>1.5949794080399826</v>
      </c>
      <c r="Q88">
        <f t="shared" si="15"/>
        <v>0.19176965705135851</v>
      </c>
      <c r="R88">
        <f t="shared" si="16"/>
        <v>0.67353779821561788</v>
      </c>
      <c r="S88">
        <f t="shared" si="17"/>
        <v>0.7172201084147718</v>
      </c>
      <c r="T88" t="s">
        <v>125</v>
      </c>
    </row>
    <row r="89" spans="1:20" x14ac:dyDescent="0.2">
      <c r="A89" t="s">
        <v>126</v>
      </c>
      <c r="B89" s="1">
        <v>0.5503218788981874</v>
      </c>
      <c r="C89" s="1">
        <v>-0.60008363114051899</v>
      </c>
      <c r="D89" s="1">
        <v>-0.23250298563785299</v>
      </c>
      <c r="E89" s="1">
        <v>0.63661975500450407</v>
      </c>
      <c r="F89" s="1">
        <v>-0.65715047200389176</v>
      </c>
      <c r="G89" s="1">
        <v>9.0940216173168525E-2</v>
      </c>
      <c r="H89" s="2">
        <v>-1.6991048139664939</v>
      </c>
      <c r="I89" s="2">
        <v>-0.84705143246971371</v>
      </c>
      <c r="J89" s="2">
        <v>0.5636314089781963</v>
      </c>
      <c r="K89" s="2">
        <v>-0.23834516174738574</v>
      </c>
      <c r="L89" s="2">
        <v>-1.0171396716378418</v>
      </c>
      <c r="N89">
        <f t="shared" si="12"/>
        <v>-3.530920645106729E-2</v>
      </c>
      <c r="O89">
        <f t="shared" si="13"/>
        <v>-0.64760193416864775</v>
      </c>
      <c r="P89">
        <f t="shared" si="14"/>
        <v>1.5286866650092505</v>
      </c>
      <c r="Q89">
        <f t="shared" si="15"/>
        <v>0.21285810086425472</v>
      </c>
      <c r="R89">
        <f t="shared" si="16"/>
        <v>0.61229272771758037</v>
      </c>
      <c r="S89">
        <f t="shared" si="17"/>
        <v>0.67190981697522956</v>
      </c>
      <c r="T89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FBDF-D0BD-0B48-B1F8-A69E0447A705}">
  <dimension ref="A1:Y89"/>
  <sheetViews>
    <sheetView workbookViewId="0"/>
  </sheetViews>
  <sheetFormatPr baseColWidth="10" defaultRowHeight="16" x14ac:dyDescent="0.2"/>
  <cols>
    <col min="1" max="1" width="21" bestFit="1" customWidth="1"/>
    <col min="2" max="12" width="12.83203125" bestFit="1" customWidth="1"/>
    <col min="14" max="15" width="12.83203125" bestFit="1" customWidth="1"/>
    <col min="16" max="17" width="12.1640625" bestFit="1" customWidth="1"/>
    <col min="18" max="18" width="12.83203125" bestFit="1" customWidth="1"/>
    <col min="19" max="19" width="12.1640625" bestFit="1" customWidth="1"/>
    <col min="20" max="20" width="21" bestFit="1" customWidth="1"/>
    <col min="23" max="23" width="21" bestFit="1" customWidth="1"/>
    <col min="24" max="24" width="12.83203125" bestFit="1" customWidth="1"/>
    <col min="25" max="25" width="12.1640625" bestFit="1" customWidth="1"/>
  </cols>
  <sheetData>
    <row r="1" spans="1:25" x14ac:dyDescent="0.2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7</v>
      </c>
      <c r="I1" t="s">
        <v>9</v>
      </c>
      <c r="J1" t="s">
        <v>11</v>
      </c>
      <c r="K1" t="s">
        <v>12</v>
      </c>
      <c r="L1" t="s">
        <v>15</v>
      </c>
      <c r="W1" s="3" t="s">
        <v>131</v>
      </c>
      <c r="X1" s="3" t="s">
        <v>129</v>
      </c>
      <c r="Y1" s="3" t="s">
        <v>130</v>
      </c>
    </row>
    <row r="2" spans="1:25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W2" t="s">
        <v>92</v>
      </c>
      <c r="X2">
        <v>0.99057842942781837</v>
      </c>
      <c r="Y2">
        <v>2.0278699870146335</v>
      </c>
    </row>
    <row r="3" spans="1:25" x14ac:dyDescent="0.2">
      <c r="A3" t="s">
        <v>27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W3" t="s">
        <v>71</v>
      </c>
      <c r="X3">
        <v>-0.95674256804549995</v>
      </c>
      <c r="Y3">
        <v>1.5918093287647423</v>
      </c>
    </row>
    <row r="4" spans="1:25" x14ac:dyDescent="0.2">
      <c r="A4" t="s">
        <v>28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W4" t="s">
        <v>63</v>
      </c>
      <c r="X4">
        <v>-1.6243556861542616</v>
      </c>
      <c r="Y4">
        <v>1.4826880466774373</v>
      </c>
    </row>
    <row r="5" spans="1:25" x14ac:dyDescent="0.2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34</v>
      </c>
      <c r="I5" t="s">
        <v>34</v>
      </c>
      <c r="J5" t="s">
        <v>33</v>
      </c>
      <c r="K5" t="s">
        <v>33</v>
      </c>
      <c r="L5" t="s">
        <v>34</v>
      </c>
      <c r="W5" t="s">
        <v>60</v>
      </c>
      <c r="X5">
        <v>-2.1635614806227972</v>
      </c>
      <c r="Y5">
        <v>1.4663065561889059</v>
      </c>
    </row>
    <row r="6" spans="1:25" x14ac:dyDescent="0.2">
      <c r="A6" t="s">
        <v>35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W6" t="s">
        <v>81</v>
      </c>
      <c r="X6">
        <v>0.89779405085439878</v>
      </c>
      <c r="Y6">
        <v>1.4630937292655353</v>
      </c>
    </row>
    <row r="7" spans="1:25" x14ac:dyDescent="0.2">
      <c r="A7" t="s">
        <v>38</v>
      </c>
      <c r="B7">
        <v>0</v>
      </c>
      <c r="C7" t="s">
        <v>39</v>
      </c>
      <c r="D7">
        <v>0</v>
      </c>
      <c r="E7">
        <v>0</v>
      </c>
      <c r="F7">
        <v>0</v>
      </c>
      <c r="G7">
        <v>0</v>
      </c>
      <c r="H7" t="s">
        <v>40</v>
      </c>
      <c r="I7" t="s">
        <v>40</v>
      </c>
      <c r="J7">
        <v>0</v>
      </c>
      <c r="K7">
        <v>0</v>
      </c>
      <c r="L7" t="s">
        <v>40</v>
      </c>
      <c r="W7" t="s">
        <v>101</v>
      </c>
      <c r="X7">
        <v>-0.91114219865960289</v>
      </c>
      <c r="Y7">
        <v>1.406670725044489</v>
      </c>
    </row>
    <row r="8" spans="1:25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W8" t="s">
        <v>55</v>
      </c>
      <c r="X8">
        <v>1.6559126524384571</v>
      </c>
      <c r="Y8">
        <v>1.1791552074796494</v>
      </c>
    </row>
    <row r="9" spans="1:25" x14ac:dyDescent="0.2">
      <c r="A9" t="s">
        <v>43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W9" t="s">
        <v>98</v>
      </c>
      <c r="X9">
        <v>-0.8547690785874047</v>
      </c>
      <c r="Y9">
        <v>1.1335148093555818</v>
      </c>
    </row>
    <row r="10" spans="1:25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W10" t="s">
        <v>114</v>
      </c>
      <c r="X10">
        <v>0.51357716263523823</v>
      </c>
      <c r="Y10">
        <v>0.93699583627722394</v>
      </c>
    </row>
    <row r="11" spans="1:25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N11" s="3" t="s">
        <v>241</v>
      </c>
      <c r="O11" s="3" t="s">
        <v>243</v>
      </c>
      <c r="P11" s="3" t="s">
        <v>127</v>
      </c>
      <c r="Q11" s="3" t="s">
        <v>128</v>
      </c>
      <c r="R11" s="3" t="s">
        <v>129</v>
      </c>
      <c r="S11" s="3" t="s">
        <v>130</v>
      </c>
      <c r="T11" s="3" t="s">
        <v>131</v>
      </c>
      <c r="W11" t="s">
        <v>83</v>
      </c>
      <c r="X11">
        <v>-0.73425589708222228</v>
      </c>
      <c r="Y11">
        <v>0.93565020874140081</v>
      </c>
    </row>
    <row r="12" spans="1:25" x14ac:dyDescent="0.2">
      <c r="A12" t="s">
        <v>48</v>
      </c>
      <c r="B12" s="1">
        <v>-0.31763981288480886</v>
      </c>
      <c r="C12" s="1">
        <v>-1.9055689202069579</v>
      </c>
      <c r="D12" s="1">
        <v>-0.25397650184140586</v>
      </c>
      <c r="E12" s="1">
        <v>-0.55097119490798485</v>
      </c>
      <c r="F12" s="1">
        <v>0.17971945466694464</v>
      </c>
      <c r="G12" s="1">
        <v>1.3783663369308135</v>
      </c>
      <c r="H12" s="2">
        <v>-0.92133067877543939</v>
      </c>
      <c r="I12" s="2">
        <v>-1.0167492845262815</v>
      </c>
      <c r="J12" s="2">
        <v>-0.22648591255248601</v>
      </c>
      <c r="K12" s="2">
        <v>0.1371283702432895</v>
      </c>
      <c r="L12" s="2">
        <v>-0.43832917809578847</v>
      </c>
      <c r="N12">
        <f t="shared" ref="N12:N43" si="0">AVERAGE(B12:G12)</f>
        <v>-0.24501177304056665</v>
      </c>
      <c r="O12">
        <f t="shared" ref="O12:O43" si="1">AVERAGE(H12:L12)</f>
        <v>-0.49315333674134115</v>
      </c>
      <c r="P12">
        <f t="shared" ref="P12:P43" si="2">2^(N12 - O12)</f>
        <v>1.1876762004655304</v>
      </c>
      <c r="Q12">
        <f t="shared" ref="Q12:Q43" si="3">_xlfn.T.TEST(B12:G12,H12:L12, 2, 3)</f>
        <v>0.62440434837478542</v>
      </c>
      <c r="R12">
        <f t="shared" ref="R12:R43" si="4">LOG(P12,2)</f>
        <v>0.24814156370077439</v>
      </c>
      <c r="S12">
        <f t="shared" ref="S12:S43" si="5">-LOG(Q12,10)</f>
        <v>0.20453408115638685</v>
      </c>
      <c r="T12" t="s">
        <v>48</v>
      </c>
      <c r="W12" t="s">
        <v>106</v>
      </c>
      <c r="X12">
        <v>1.6246178754861524</v>
      </c>
      <c r="Y12">
        <v>0.85342112015422844</v>
      </c>
    </row>
    <row r="13" spans="1:25" x14ac:dyDescent="0.2">
      <c r="A13" t="s">
        <v>49</v>
      </c>
      <c r="B13" s="1">
        <v>-6.0669970226981194E-2</v>
      </c>
      <c r="C13" s="1">
        <v>-1.5201672650694409</v>
      </c>
      <c r="D13" s="1">
        <v>3.3863274613822791</v>
      </c>
      <c r="E13" s="1">
        <v>0.36792680306131409</v>
      </c>
      <c r="F13" s="1">
        <v>2.4437139422593304</v>
      </c>
      <c r="G13" s="1">
        <v>0.73050553026065446</v>
      </c>
      <c r="H13" s="2">
        <v>-1.0316846417290049</v>
      </c>
      <c r="I13" s="2">
        <v>-0.89733730510922771</v>
      </c>
      <c r="J13" s="2">
        <v>0.86331211477758418</v>
      </c>
      <c r="K13" s="2">
        <v>0.21503264329999022</v>
      </c>
      <c r="L13" s="2">
        <v>-6.7646490953732763E-2</v>
      </c>
      <c r="N13">
        <f t="shared" si="0"/>
        <v>0.89127275027785924</v>
      </c>
      <c r="O13">
        <f t="shared" si="1"/>
        <v>-0.18366473594287819</v>
      </c>
      <c r="P13">
        <f t="shared" si="2"/>
        <v>2.1066307869869854</v>
      </c>
      <c r="Q13">
        <f t="shared" si="3"/>
        <v>0.22221096153008496</v>
      </c>
      <c r="R13">
        <f t="shared" si="4"/>
        <v>1.0749374862207375</v>
      </c>
      <c r="S13">
        <f t="shared" si="5"/>
        <v>0.65323452138700477</v>
      </c>
      <c r="T13" t="s">
        <v>49</v>
      </c>
      <c r="W13" t="s">
        <v>88</v>
      </c>
      <c r="X13">
        <v>0.8753415450877422</v>
      </c>
      <c r="Y13">
        <v>0.82624730036515592</v>
      </c>
    </row>
    <row r="14" spans="1:25" x14ac:dyDescent="0.2">
      <c r="A14" t="s">
        <v>50</v>
      </c>
      <c r="B14" s="1">
        <v>2.3906573153481241</v>
      </c>
      <c r="C14" s="1">
        <v>1.0523296744266639</v>
      </c>
      <c r="D14" s="1">
        <v>-1.6208358664053759</v>
      </c>
      <c r="E14" s="1">
        <v>-1.2291910677966262</v>
      </c>
      <c r="F14" s="1">
        <v>0.11368834916673071</v>
      </c>
      <c r="G14" s="1">
        <v>1.1564101716896447</v>
      </c>
      <c r="H14" s="2">
        <v>-1.6598433573161075</v>
      </c>
      <c r="I14" s="2">
        <v>-1.7046284349822876</v>
      </c>
      <c r="J14" s="2">
        <v>0.21815953350796735</v>
      </c>
      <c r="K14" s="2">
        <v>1.5316008821771623</v>
      </c>
      <c r="L14" s="2">
        <v>-0.93177046745556769</v>
      </c>
      <c r="N14">
        <f t="shared" si="0"/>
        <v>0.31050976273819347</v>
      </c>
      <c r="O14">
        <f t="shared" si="1"/>
        <v>-0.5092963688137665</v>
      </c>
      <c r="P14">
        <f t="shared" si="2"/>
        <v>1.7651687743784565</v>
      </c>
      <c r="Q14">
        <f t="shared" si="3"/>
        <v>0.37548717493777672</v>
      </c>
      <c r="R14">
        <f t="shared" si="4"/>
        <v>0.81980613155196003</v>
      </c>
      <c r="S14">
        <f t="shared" si="5"/>
        <v>0.4254048920789178</v>
      </c>
      <c r="T14" t="s">
        <v>50</v>
      </c>
      <c r="W14" t="s">
        <v>80</v>
      </c>
      <c r="X14">
        <v>1.1695566344494419</v>
      </c>
      <c r="Y14">
        <v>0.80106013403440579</v>
      </c>
    </row>
    <row r="15" spans="1:25" x14ac:dyDescent="0.2">
      <c r="A15" t="s">
        <v>51</v>
      </c>
      <c r="B15" s="1">
        <v>-0.59471583803952721</v>
      </c>
      <c r="C15" s="1">
        <v>-1.6904844765634501</v>
      </c>
      <c r="D15" s="1">
        <v>-0.97913504619356018</v>
      </c>
      <c r="E15" s="1">
        <v>-0.64253096555053735</v>
      </c>
      <c r="F15" s="1">
        <v>0.63632460506597532</v>
      </c>
      <c r="G15" s="1">
        <v>-0.26034002362809966</v>
      </c>
      <c r="H15" s="2">
        <v>-0.71292073148454971</v>
      </c>
      <c r="I15" s="2">
        <v>-1.6319744294095906</v>
      </c>
      <c r="J15" s="2">
        <v>-0.32741542201494866</v>
      </c>
      <c r="K15" s="2">
        <v>-0.28564561209774536</v>
      </c>
      <c r="L15" s="2">
        <v>-0.25350114487306108</v>
      </c>
      <c r="N15">
        <f t="shared" si="0"/>
        <v>-0.58848029081819986</v>
      </c>
      <c r="O15">
        <f t="shared" si="1"/>
        <v>-0.64229146797597914</v>
      </c>
      <c r="P15">
        <f t="shared" si="2"/>
        <v>1.0380034056688781</v>
      </c>
      <c r="Q15">
        <f t="shared" si="3"/>
        <v>0.89826007601388935</v>
      </c>
      <c r="R15">
        <f t="shared" si="4"/>
        <v>5.3811177157779298E-2</v>
      </c>
      <c r="S15">
        <f t="shared" si="5"/>
        <v>4.6597902503286714E-2</v>
      </c>
      <c r="T15" t="s">
        <v>51</v>
      </c>
      <c r="W15" t="s">
        <v>91</v>
      </c>
      <c r="X15">
        <v>-0.63149637664964853</v>
      </c>
      <c r="Y15">
        <v>0.79348751546483987</v>
      </c>
    </row>
    <row r="16" spans="1:25" x14ac:dyDescent="0.2">
      <c r="A16" t="s">
        <v>52</v>
      </c>
      <c r="B16" s="1">
        <v>-1.5901703889365832</v>
      </c>
      <c r="C16" s="1">
        <v>0.15370503459060481</v>
      </c>
      <c r="D16" s="1">
        <v>-0.8388563120983703</v>
      </c>
      <c r="E16" s="1">
        <v>1.9352228649630421</v>
      </c>
      <c r="F16" s="1">
        <v>-9.9261667571989287E-2</v>
      </c>
      <c r="G16" s="1">
        <v>-3.5884090688472314E-2</v>
      </c>
      <c r="H16" s="2">
        <v>-1.0030943943010067</v>
      </c>
      <c r="I16" s="2">
        <v>-1.0011091516096067</v>
      </c>
      <c r="J16" s="2">
        <v>0.67237273062001224</v>
      </c>
      <c r="K16" s="2">
        <v>0.13940701796846428</v>
      </c>
      <c r="L16" s="2">
        <v>0.52845083665371229</v>
      </c>
      <c r="N16">
        <f t="shared" si="0"/>
        <v>-7.9207426623628008E-2</v>
      </c>
      <c r="O16">
        <f t="shared" si="1"/>
        <v>-0.13279459213368486</v>
      </c>
      <c r="P16">
        <f t="shared" si="2"/>
        <v>1.0378422442347777</v>
      </c>
      <c r="Q16">
        <f t="shared" si="3"/>
        <v>0.9314100804061145</v>
      </c>
      <c r="R16">
        <f t="shared" si="4"/>
        <v>5.3587165510056732E-2</v>
      </c>
      <c r="S16">
        <f t="shared" si="5"/>
        <v>3.0859066122999153E-2</v>
      </c>
      <c r="T16" t="s">
        <v>52</v>
      </c>
      <c r="W16" t="s">
        <v>57</v>
      </c>
      <c r="X16">
        <v>-0.83139026887482503</v>
      </c>
      <c r="Y16">
        <v>0.73754543911412063</v>
      </c>
    </row>
    <row r="17" spans="1:25" x14ac:dyDescent="0.2">
      <c r="A17" t="s">
        <v>53</v>
      </c>
      <c r="B17" s="1">
        <v>-2.1713603270198947</v>
      </c>
      <c r="C17" s="1">
        <v>-2.0226665861431625</v>
      </c>
      <c r="D17" s="1">
        <v>-1.0830714854602947</v>
      </c>
      <c r="E17" s="1">
        <v>2.1755401999049955</v>
      </c>
      <c r="F17" s="1">
        <v>-2.8994268910361543</v>
      </c>
      <c r="G17" s="1">
        <v>-2.7181004171515948</v>
      </c>
      <c r="H17" s="2">
        <v>-2.2026234503658548</v>
      </c>
      <c r="I17" s="2">
        <v>-1.6140559543534543</v>
      </c>
      <c r="J17" s="2">
        <v>-1.4094410068347845</v>
      </c>
      <c r="K17" s="2">
        <v>-1.7063899528827544</v>
      </c>
      <c r="L17" s="2">
        <v>-1.0799820246704745</v>
      </c>
      <c r="N17">
        <f t="shared" si="0"/>
        <v>-1.453180917817684</v>
      </c>
      <c r="O17">
        <f t="shared" si="1"/>
        <v>-1.6024984778214644</v>
      </c>
      <c r="P17">
        <f t="shared" si="2"/>
        <v>1.1090447350305777</v>
      </c>
      <c r="Q17">
        <f t="shared" si="3"/>
        <v>0.85729423157653772</v>
      </c>
      <c r="R17">
        <f t="shared" si="4"/>
        <v>0.14931756000378041</v>
      </c>
      <c r="S17">
        <f t="shared" si="5"/>
        <v>6.6870098474253944E-2</v>
      </c>
      <c r="T17" t="s">
        <v>53</v>
      </c>
      <c r="W17" t="s">
        <v>86</v>
      </c>
      <c r="X17">
        <v>-0.3365297643233553</v>
      </c>
      <c r="Y17">
        <v>0.69562475202767093</v>
      </c>
    </row>
    <row r="18" spans="1:25" x14ac:dyDescent="0.2">
      <c r="A18" t="s">
        <v>54</v>
      </c>
      <c r="B18" s="1">
        <v>0.46948725915648976</v>
      </c>
      <c r="C18" s="1">
        <v>0.7274354088161441</v>
      </c>
      <c r="D18" s="1">
        <v>0.18199963731652608</v>
      </c>
      <c r="E18" s="1">
        <v>-1.766059675027376</v>
      </c>
      <c r="F18" s="1">
        <v>-1.6661483828382297</v>
      </c>
      <c r="G18" s="1">
        <v>4.6346171081016303</v>
      </c>
      <c r="H18" s="2">
        <v>-1.0421913991690204</v>
      </c>
      <c r="I18" s="2">
        <v>-4.8336526246728684E-2</v>
      </c>
      <c r="J18" s="2">
        <v>-1.5556121355636984E-2</v>
      </c>
      <c r="K18" s="2">
        <v>0.70787778080264474</v>
      </c>
      <c r="L18" s="2">
        <v>-6.3107108726575281E-2</v>
      </c>
      <c r="N18">
        <f t="shared" si="0"/>
        <v>0.43022189258753074</v>
      </c>
      <c r="O18">
        <f t="shared" si="1"/>
        <v>-9.2262674939063344E-2</v>
      </c>
      <c r="P18">
        <f t="shared" si="2"/>
        <v>1.4364268918105207</v>
      </c>
      <c r="Q18">
        <f t="shared" si="3"/>
        <v>0.6169224225218719</v>
      </c>
      <c r="R18">
        <f t="shared" si="4"/>
        <v>0.52248456752659411</v>
      </c>
      <c r="S18">
        <f t="shared" si="5"/>
        <v>0.20976944470082529</v>
      </c>
      <c r="T18" t="s">
        <v>54</v>
      </c>
      <c r="W18" t="s">
        <v>95</v>
      </c>
      <c r="X18">
        <v>-0.36121216209988705</v>
      </c>
      <c r="Y18">
        <v>0.66133562770717658</v>
      </c>
    </row>
    <row r="19" spans="1:25" x14ac:dyDescent="0.2">
      <c r="A19" t="s">
        <v>55</v>
      </c>
      <c r="B19" s="1">
        <v>3.0404208236726054</v>
      </c>
      <c r="C19" s="1">
        <v>-2.6821829908866932E-2</v>
      </c>
      <c r="D19" s="1">
        <v>-0.55486354633797774</v>
      </c>
      <c r="E19" s="1">
        <v>-1.1996396618820246</v>
      </c>
      <c r="F19" s="1">
        <v>-1.5266400389488282</v>
      </c>
      <c r="G19" s="1">
        <v>-0.19978780363396031</v>
      </c>
      <c r="H19" s="2">
        <v>-2.2680713443606924</v>
      </c>
      <c r="I19" s="2">
        <v>-2.2211021543159926</v>
      </c>
      <c r="J19" s="2">
        <v>-0.97573124852587256</v>
      </c>
      <c r="K19" s="2">
        <v>-0.57503464891079359</v>
      </c>
      <c r="L19" s="2">
        <v>-2.6290672469448126</v>
      </c>
      <c r="N19">
        <f t="shared" si="0"/>
        <v>-7.7888676173175395E-2</v>
      </c>
      <c r="O19">
        <f t="shared" si="1"/>
        <v>-1.7338013286116325</v>
      </c>
      <c r="P19">
        <f t="shared" si="2"/>
        <v>3.1512247484141209</v>
      </c>
      <c r="Q19">
        <f t="shared" si="3"/>
        <v>6.6197988409192679E-2</v>
      </c>
      <c r="R19">
        <f t="shared" si="4"/>
        <v>1.6559126524384571</v>
      </c>
      <c r="S19">
        <f t="shared" si="5"/>
        <v>1.1791552074796494</v>
      </c>
      <c r="T19" t="s">
        <v>55</v>
      </c>
      <c r="W19" t="s">
        <v>49</v>
      </c>
      <c r="X19">
        <v>1.0749374862207375</v>
      </c>
      <c r="Y19">
        <v>0.65323452138700477</v>
      </c>
    </row>
    <row r="20" spans="1:25" x14ac:dyDescent="0.2">
      <c r="A20" t="s">
        <v>56</v>
      </c>
      <c r="B20" s="1">
        <v>-1.1790641900154708</v>
      </c>
      <c r="C20" s="1">
        <v>-2.1408663554747935</v>
      </c>
      <c r="D20" s="1">
        <v>-1.6862790028280936</v>
      </c>
      <c r="E20" s="1">
        <v>-2.2265983919832335</v>
      </c>
      <c r="F20" s="1">
        <v>-1.1235456968940369</v>
      </c>
      <c r="G20" s="1">
        <v>-0.57110454663730681</v>
      </c>
      <c r="H20" s="2">
        <v>-2.6017672212084957</v>
      </c>
      <c r="I20" s="2">
        <v>-1.8280206048412155</v>
      </c>
      <c r="J20" s="2">
        <v>4.6428923696719332E-2</v>
      </c>
      <c r="K20" s="2">
        <v>-8.5761548283598665E-2</v>
      </c>
      <c r="L20" s="2">
        <v>-0.58627666986886762</v>
      </c>
      <c r="N20">
        <f t="shared" si="0"/>
        <v>-1.4879096973054891</v>
      </c>
      <c r="O20">
        <f t="shared" si="1"/>
        <v>-1.0110794241010916</v>
      </c>
      <c r="P20">
        <f t="shared" si="2"/>
        <v>0.71855461812464239</v>
      </c>
      <c r="Q20">
        <f t="shared" si="3"/>
        <v>0.44272127345550416</v>
      </c>
      <c r="R20">
        <f t="shared" si="4"/>
        <v>-0.47683027320439736</v>
      </c>
      <c r="S20">
        <f t="shared" si="5"/>
        <v>0.35386960898487463</v>
      </c>
      <c r="T20" t="s">
        <v>56</v>
      </c>
      <c r="W20" t="s">
        <v>93</v>
      </c>
      <c r="X20">
        <v>0.89395321171557862</v>
      </c>
      <c r="Y20">
        <v>0.64196409656076281</v>
      </c>
    </row>
    <row r="21" spans="1:25" x14ac:dyDescent="0.2">
      <c r="A21" t="s">
        <v>57</v>
      </c>
      <c r="B21" s="1">
        <v>-1.3739109473796405</v>
      </c>
      <c r="C21" s="1">
        <v>-0.17089194391226636</v>
      </c>
      <c r="D21" s="1">
        <v>-0.55008633143075136</v>
      </c>
      <c r="E21" s="1">
        <v>0.85936642881865755</v>
      </c>
      <c r="F21" s="1">
        <v>-1.4146617120811551</v>
      </c>
      <c r="G21" s="1">
        <v>0.53675655186360649</v>
      </c>
      <c r="H21" s="2">
        <v>1.6335206568478386</v>
      </c>
      <c r="I21" s="2">
        <v>0.93180279434058688</v>
      </c>
      <c r="J21" s="2">
        <v>-0.73486470675172122</v>
      </c>
      <c r="K21" s="2">
        <v>-0.22066652806602216</v>
      </c>
      <c r="L21" s="2">
        <v>0.78596916623548585</v>
      </c>
      <c r="N21">
        <f t="shared" si="0"/>
        <v>-0.3522379923535916</v>
      </c>
      <c r="O21">
        <f t="shared" si="1"/>
        <v>0.47915227652123366</v>
      </c>
      <c r="P21">
        <f t="shared" si="2"/>
        <v>0.56198741599025137</v>
      </c>
      <c r="Q21">
        <f t="shared" si="3"/>
        <v>0.18300146265728059</v>
      </c>
      <c r="R21">
        <f t="shared" si="4"/>
        <v>-0.83139026887482503</v>
      </c>
      <c r="S21">
        <f t="shared" si="5"/>
        <v>0.73754543911412063</v>
      </c>
      <c r="T21" t="s">
        <v>57</v>
      </c>
      <c r="W21" t="s">
        <v>64</v>
      </c>
      <c r="X21">
        <v>-0.56498484226970669</v>
      </c>
      <c r="Y21">
        <v>0.58938687427539904</v>
      </c>
    </row>
    <row r="22" spans="1:25" x14ac:dyDescent="0.2">
      <c r="A22" t="s">
        <v>58</v>
      </c>
      <c r="B22" s="1">
        <v>-0.65736860930875141</v>
      </c>
      <c r="C22" s="1">
        <v>0.2930556417208845</v>
      </c>
      <c r="D22" s="1">
        <v>-1.0563338594722904</v>
      </c>
      <c r="E22" s="1">
        <v>-0.52991966649059741</v>
      </c>
      <c r="F22" s="1">
        <v>-2.3051390473359268</v>
      </c>
      <c r="G22" s="1">
        <v>-1.3691480860273366</v>
      </c>
      <c r="H22" s="2">
        <v>0.16274824767891743</v>
      </c>
      <c r="I22" s="2">
        <v>0.75429225340888906</v>
      </c>
      <c r="J22" s="2">
        <v>-3.0443539110672351</v>
      </c>
      <c r="K22" s="2">
        <v>-2.2390793777891949</v>
      </c>
      <c r="L22" s="2">
        <v>-0.17102640023195398</v>
      </c>
      <c r="N22">
        <f t="shared" si="0"/>
        <v>-0.93747560448566969</v>
      </c>
      <c r="O22">
        <f t="shared" si="1"/>
        <v>-0.90748383760011531</v>
      </c>
      <c r="P22">
        <f t="shared" si="2"/>
        <v>0.9794258869195166</v>
      </c>
      <c r="Q22">
        <f t="shared" si="3"/>
        <v>0.97192762803221189</v>
      </c>
      <c r="R22">
        <f t="shared" si="4"/>
        <v>-2.999176688555449E-2</v>
      </c>
      <c r="S22">
        <f t="shared" si="5"/>
        <v>1.2366072436306347E-2</v>
      </c>
      <c r="T22" t="s">
        <v>58</v>
      </c>
      <c r="W22" t="s">
        <v>113</v>
      </c>
      <c r="X22">
        <v>0.42813817815757194</v>
      </c>
      <c r="Y22">
        <v>0.55980238837847107</v>
      </c>
    </row>
    <row r="23" spans="1:25" x14ac:dyDescent="0.2">
      <c r="A23" t="s">
        <v>59</v>
      </c>
      <c r="B23" s="1">
        <v>1.1570077199554172</v>
      </c>
      <c r="C23" s="1">
        <v>1.7002953112817851</v>
      </c>
      <c r="D23" s="1">
        <v>1.8244308634541351</v>
      </c>
      <c r="E23" s="1">
        <v>0.20947053144187294</v>
      </c>
      <c r="F23" s="1">
        <v>1.4802560213249478</v>
      </c>
      <c r="G23" s="1">
        <v>2.8798889026752077</v>
      </c>
      <c r="H23" s="2">
        <v>2.4312998284673295</v>
      </c>
      <c r="I23" s="2">
        <v>0.7287510049483108</v>
      </c>
      <c r="J23" s="2">
        <v>0.21089899336711276</v>
      </c>
      <c r="K23" s="2">
        <v>1.1878372196164098</v>
      </c>
      <c r="L23" s="2">
        <v>1.4124780349079198</v>
      </c>
      <c r="N23">
        <f t="shared" si="0"/>
        <v>1.5418915583555612</v>
      </c>
      <c r="O23">
        <f t="shared" si="1"/>
        <v>1.1942530162614164</v>
      </c>
      <c r="P23">
        <f t="shared" si="2"/>
        <v>1.2724760846866561</v>
      </c>
      <c r="Q23">
        <f t="shared" si="3"/>
        <v>0.51721613848975001</v>
      </c>
      <c r="R23">
        <f t="shared" si="4"/>
        <v>0.34763854209414469</v>
      </c>
      <c r="S23">
        <f t="shared" si="5"/>
        <v>0.28632793246199106</v>
      </c>
      <c r="T23" t="s">
        <v>59</v>
      </c>
      <c r="W23" t="s">
        <v>103</v>
      </c>
      <c r="X23">
        <v>-0.44560533604350494</v>
      </c>
      <c r="Y23">
        <v>0.4751045567488445</v>
      </c>
    </row>
    <row r="24" spans="1:25" x14ac:dyDescent="0.2">
      <c r="A24" t="s">
        <v>60</v>
      </c>
      <c r="B24" s="1">
        <v>0.76703354134414847</v>
      </c>
      <c r="C24" s="1">
        <v>0.46780080850047145</v>
      </c>
      <c r="D24" s="1">
        <v>-0.22512422347939592</v>
      </c>
      <c r="E24" s="1">
        <v>1.9060613615214903</v>
      </c>
      <c r="F24" s="1">
        <v>3.1457749495028091</v>
      </c>
      <c r="G24" s="1">
        <v>2.014043741008809</v>
      </c>
      <c r="H24" s="2">
        <v>2.8567322605235197</v>
      </c>
      <c r="I24" s="2">
        <v>6.0803736291364094</v>
      </c>
      <c r="J24" s="2">
        <v>3.3130905509636297</v>
      </c>
      <c r="K24" s="2">
        <v>3.1971965309982395</v>
      </c>
      <c r="L24" s="2">
        <v>2.1000729134907998</v>
      </c>
      <c r="N24">
        <f t="shared" si="0"/>
        <v>1.3459316963997221</v>
      </c>
      <c r="O24">
        <f t="shared" si="1"/>
        <v>3.5094931770225193</v>
      </c>
      <c r="P24">
        <f t="shared" si="2"/>
        <v>0.22320457748012149</v>
      </c>
      <c r="Q24">
        <f t="shared" si="3"/>
        <v>3.4173813407600312E-2</v>
      </c>
      <c r="R24">
        <f t="shared" si="4"/>
        <v>-2.1635614806227972</v>
      </c>
      <c r="S24">
        <f t="shared" si="5"/>
        <v>1.4663065561889059</v>
      </c>
      <c r="T24" t="s">
        <v>60</v>
      </c>
      <c r="W24" t="s">
        <v>126</v>
      </c>
      <c r="X24">
        <v>0.43859858769505577</v>
      </c>
      <c r="Y24">
        <v>0.46425380665561644</v>
      </c>
    </row>
    <row r="25" spans="1:25" x14ac:dyDescent="0.2">
      <c r="A25" t="s">
        <v>61</v>
      </c>
      <c r="B25" s="1">
        <v>3.1154520514518063</v>
      </c>
      <c r="C25" s="1">
        <v>0.7616758457451992</v>
      </c>
      <c r="D25" s="1">
        <v>-0.58749819446563589</v>
      </c>
      <c r="E25" s="1">
        <v>0.79657173459543618</v>
      </c>
      <c r="F25" s="1">
        <v>4.8083035063421464</v>
      </c>
      <c r="G25" s="1">
        <v>-1.026613900762374</v>
      </c>
      <c r="H25" s="2">
        <v>0.60694289397969625</v>
      </c>
      <c r="I25" s="2">
        <v>1.5985645248654663</v>
      </c>
      <c r="J25" s="2">
        <v>2.4150884287143466</v>
      </c>
      <c r="K25" s="2">
        <v>1.9437229580269164</v>
      </c>
      <c r="L25" s="2">
        <v>1.1729750691870562</v>
      </c>
      <c r="N25">
        <f t="shared" si="0"/>
        <v>1.3113151738177631</v>
      </c>
      <c r="O25">
        <f t="shared" si="1"/>
        <v>1.5474587749546962</v>
      </c>
      <c r="P25">
        <f t="shared" si="2"/>
        <v>0.8490117343948913</v>
      </c>
      <c r="Q25">
        <f t="shared" si="3"/>
        <v>0.81497495504926898</v>
      </c>
      <c r="R25">
        <f t="shared" si="4"/>
        <v>-0.23614360113693306</v>
      </c>
      <c r="S25">
        <f t="shared" si="5"/>
        <v>8.8855737334905316E-2</v>
      </c>
      <c r="T25" t="s">
        <v>61</v>
      </c>
      <c r="W25" t="s">
        <v>119</v>
      </c>
      <c r="X25">
        <v>0.43276408514902642</v>
      </c>
      <c r="Y25">
        <v>0.46276188040681221</v>
      </c>
    </row>
    <row r="26" spans="1:25" x14ac:dyDescent="0.2">
      <c r="A26" t="s">
        <v>62</v>
      </c>
      <c r="B26" s="1">
        <v>9.9877965196971549E-2</v>
      </c>
      <c r="C26" s="1">
        <v>1.4186721727013114</v>
      </c>
      <c r="D26" s="1">
        <v>1.5581634600814214</v>
      </c>
      <c r="E26" s="1">
        <v>2.819597238676721</v>
      </c>
      <c r="F26" s="1">
        <v>2.4815447823321901E-2</v>
      </c>
      <c r="G26" s="1">
        <v>0.15543252960884485</v>
      </c>
      <c r="H26" s="2">
        <v>0.67351134539958979</v>
      </c>
      <c r="I26" s="2">
        <v>1.8243195464915196</v>
      </c>
      <c r="J26" s="2">
        <v>2.4739196675347799</v>
      </c>
      <c r="K26" s="2">
        <v>2.24797117074871</v>
      </c>
      <c r="L26" s="2">
        <v>-0.36837314993457321</v>
      </c>
      <c r="N26">
        <f t="shared" si="0"/>
        <v>1.0127598023480988</v>
      </c>
      <c r="O26">
        <f t="shared" si="1"/>
        <v>1.3702697160480051</v>
      </c>
      <c r="P26">
        <f t="shared" si="2"/>
        <v>0.78051057609901442</v>
      </c>
      <c r="Q26">
        <f t="shared" si="3"/>
        <v>0.62414364331657901</v>
      </c>
      <c r="R26">
        <f t="shared" si="4"/>
        <v>-0.3575099136999062</v>
      </c>
      <c r="S26">
        <f t="shared" si="5"/>
        <v>0.20471544826535226</v>
      </c>
      <c r="T26" t="s">
        <v>62</v>
      </c>
      <c r="W26" t="s">
        <v>79</v>
      </c>
      <c r="X26">
        <v>-0.45996164841514864</v>
      </c>
      <c r="Y26">
        <v>0.45786247999361968</v>
      </c>
    </row>
    <row r="27" spans="1:25" x14ac:dyDescent="0.2">
      <c r="A27" t="s">
        <v>63</v>
      </c>
      <c r="B27" s="1">
        <v>-0.74937360975814982</v>
      </c>
      <c r="C27" s="1">
        <v>1.0658456846359121</v>
      </c>
      <c r="D27" s="1">
        <v>-1.5051442723170099</v>
      </c>
      <c r="E27" s="1">
        <v>1.2809458111519541</v>
      </c>
      <c r="F27" s="1">
        <v>0.45670931360953199</v>
      </c>
      <c r="G27" s="1">
        <v>-0.82457062881164411</v>
      </c>
      <c r="H27" s="2">
        <v>0.80983596122206003</v>
      </c>
      <c r="I27" s="2">
        <v>2.70998808387992</v>
      </c>
      <c r="J27" s="2">
        <v>2.2965039378252801</v>
      </c>
      <c r="K27" s="2">
        <v>1.7522876185123601</v>
      </c>
      <c r="L27" s="2">
        <v>0.32350641142384995</v>
      </c>
      <c r="N27">
        <f t="shared" si="0"/>
        <v>-4.5931283581567617E-2</v>
      </c>
      <c r="O27">
        <f t="shared" si="1"/>
        <v>1.5784244025726939</v>
      </c>
      <c r="P27">
        <f t="shared" si="2"/>
        <v>0.32435471453894577</v>
      </c>
      <c r="Q27">
        <f t="shared" si="3"/>
        <v>3.2908792955308901E-2</v>
      </c>
      <c r="R27">
        <f t="shared" si="4"/>
        <v>-1.6243556861542616</v>
      </c>
      <c r="S27">
        <f t="shared" si="5"/>
        <v>1.4826880466774373</v>
      </c>
      <c r="T27" t="s">
        <v>63</v>
      </c>
      <c r="W27" t="s">
        <v>118</v>
      </c>
      <c r="X27">
        <v>0.38058182179803846</v>
      </c>
      <c r="Y27">
        <v>0.43358920085860353</v>
      </c>
    </row>
    <row r="28" spans="1:25" x14ac:dyDescent="0.2">
      <c r="A28" t="s">
        <v>64</v>
      </c>
      <c r="B28" s="1">
        <v>-0.31484142012694111</v>
      </c>
      <c r="C28" s="1">
        <v>0.56164762496393594</v>
      </c>
      <c r="D28" s="1">
        <v>-0.1221299471794951</v>
      </c>
      <c r="E28" s="1">
        <v>-1.5210493323503511</v>
      </c>
      <c r="F28" s="1">
        <v>-0.36295496449595366</v>
      </c>
      <c r="G28" s="1">
        <v>-1.0468910617237697</v>
      </c>
      <c r="H28" s="2">
        <v>-0.52588622138509533</v>
      </c>
      <c r="I28" s="2">
        <v>0.80876524342083467</v>
      </c>
      <c r="J28" s="2">
        <v>0.68110699681466469</v>
      </c>
      <c r="K28" s="2">
        <v>0.49705718149562472</v>
      </c>
      <c r="L28" s="2">
        <v>-0.97463490642464023</v>
      </c>
      <c r="N28">
        <f t="shared" si="0"/>
        <v>-0.46770318348542911</v>
      </c>
      <c r="O28">
        <f t="shared" si="1"/>
        <v>9.7281658784277705E-2</v>
      </c>
      <c r="P28">
        <f t="shared" si="2"/>
        <v>0.67596251850265254</v>
      </c>
      <c r="Q28">
        <f t="shared" si="3"/>
        <v>0.25740271638413181</v>
      </c>
      <c r="R28">
        <f t="shared" si="4"/>
        <v>-0.56498484226970669</v>
      </c>
      <c r="S28">
        <f t="shared" si="5"/>
        <v>0.58938687427539904</v>
      </c>
      <c r="T28" t="s">
        <v>64</v>
      </c>
      <c r="W28" t="s">
        <v>50</v>
      </c>
      <c r="X28">
        <v>0.81980613155196003</v>
      </c>
      <c r="Y28">
        <v>0.4254048920789178</v>
      </c>
    </row>
    <row r="29" spans="1:25" x14ac:dyDescent="0.2">
      <c r="A29" t="s">
        <v>65</v>
      </c>
      <c r="B29" s="1">
        <v>-0.14603487012133437</v>
      </c>
      <c r="C29" s="1">
        <v>-0.72570371133319633</v>
      </c>
      <c r="D29" s="1">
        <v>-1.8896586876601034</v>
      </c>
      <c r="E29" s="1">
        <v>-2.2894509078157834</v>
      </c>
      <c r="F29" s="1">
        <v>-1.4006983589081401</v>
      </c>
      <c r="G29" s="1">
        <v>0.62647087077424102</v>
      </c>
      <c r="H29" s="2">
        <v>-0.65381307444649317</v>
      </c>
      <c r="I29" s="2">
        <v>-0.68599808522085526</v>
      </c>
      <c r="J29" s="2">
        <v>-1.9492944260643341</v>
      </c>
      <c r="K29" s="2">
        <v>-1.961345039620344</v>
      </c>
      <c r="L29" s="2">
        <v>-0.84045259837178121</v>
      </c>
      <c r="N29">
        <f t="shared" si="0"/>
        <v>-0.97084594417738612</v>
      </c>
      <c r="O29">
        <f t="shared" si="1"/>
        <v>-1.2181806447447616</v>
      </c>
      <c r="P29">
        <f t="shared" si="2"/>
        <v>1.1870121486811995</v>
      </c>
      <c r="Q29">
        <f t="shared" si="3"/>
        <v>0.65959594499540808</v>
      </c>
      <c r="R29">
        <f t="shared" si="4"/>
        <v>0.24733470056737555</v>
      </c>
      <c r="S29">
        <f t="shared" si="5"/>
        <v>0.1807220229358445</v>
      </c>
      <c r="T29" t="s">
        <v>65</v>
      </c>
      <c r="W29" t="s">
        <v>69</v>
      </c>
      <c r="X29">
        <v>0.31256637616904642</v>
      </c>
      <c r="Y29">
        <v>0.42256924915393024</v>
      </c>
    </row>
    <row r="30" spans="1:25" x14ac:dyDescent="0.2">
      <c r="A30" t="s">
        <v>66</v>
      </c>
      <c r="B30" s="1">
        <v>2.5605476526112727</v>
      </c>
      <c r="C30" s="1">
        <v>2.439602086005793</v>
      </c>
      <c r="D30" s="1">
        <v>1.3901914283295529</v>
      </c>
      <c r="E30" s="1">
        <v>0.8142033623541669</v>
      </c>
      <c r="F30" s="1">
        <v>2.7622341835477719</v>
      </c>
      <c r="G30" s="1">
        <v>1.5835197834385619</v>
      </c>
      <c r="H30" s="2">
        <v>2.4776130396968337</v>
      </c>
      <c r="I30" s="2">
        <v>3.4267451510184634</v>
      </c>
      <c r="J30" s="2">
        <v>2.2842284043292636</v>
      </c>
      <c r="K30" s="2">
        <v>2.5665056027250936</v>
      </c>
      <c r="L30" s="2">
        <v>1.1068373880058335</v>
      </c>
      <c r="N30">
        <f t="shared" si="0"/>
        <v>1.9250497493811867</v>
      </c>
      <c r="O30">
        <f t="shared" si="1"/>
        <v>2.3723859171550976</v>
      </c>
      <c r="P30">
        <f t="shared" si="2"/>
        <v>0.73339576087952918</v>
      </c>
      <c r="Q30">
        <f t="shared" si="3"/>
        <v>0.38547649248923066</v>
      </c>
      <c r="R30">
        <f t="shared" si="4"/>
        <v>-0.44733616777391094</v>
      </c>
      <c r="S30">
        <f t="shared" si="5"/>
        <v>0.41400210138344529</v>
      </c>
      <c r="T30" t="s">
        <v>66</v>
      </c>
      <c r="W30" t="s">
        <v>66</v>
      </c>
      <c r="X30">
        <v>-0.44733616777391094</v>
      </c>
      <c r="Y30">
        <v>0.41400210138344529</v>
      </c>
    </row>
    <row r="31" spans="1:25" x14ac:dyDescent="0.2">
      <c r="A31" t="s">
        <v>68</v>
      </c>
      <c r="B31" s="1">
        <v>-0.25537636885201326</v>
      </c>
      <c r="C31" s="1">
        <v>1.3427850230762641</v>
      </c>
      <c r="D31" s="1">
        <v>1.2084058985571942</v>
      </c>
      <c r="E31" s="1">
        <v>0.93769534896558415</v>
      </c>
      <c r="F31" s="1">
        <v>-0.18777132373636363</v>
      </c>
      <c r="G31" s="1">
        <v>-0.51939774013428663</v>
      </c>
      <c r="H31" s="2">
        <v>-0.29382306079348497</v>
      </c>
      <c r="I31" s="2">
        <v>1.8519808772180362</v>
      </c>
      <c r="J31" s="2">
        <v>-0.25820854634529122</v>
      </c>
      <c r="K31" s="2">
        <v>1.0910379348125159</v>
      </c>
      <c r="L31" s="2">
        <v>-0.11266969994054574</v>
      </c>
      <c r="N31">
        <f t="shared" si="0"/>
        <v>0.42105680631272985</v>
      </c>
      <c r="O31">
        <f t="shared" si="1"/>
        <v>0.45566350099024594</v>
      </c>
      <c r="P31">
        <f t="shared" si="2"/>
        <v>0.97629788133981177</v>
      </c>
      <c r="Q31">
        <f t="shared" si="3"/>
        <v>0.95136077061747626</v>
      </c>
      <c r="R31">
        <f t="shared" si="4"/>
        <v>-3.4606694677516189E-2</v>
      </c>
      <c r="S31">
        <f t="shared" si="5"/>
        <v>2.1654760689520901E-2</v>
      </c>
      <c r="T31" t="s">
        <v>68</v>
      </c>
      <c r="W31" t="s">
        <v>105</v>
      </c>
      <c r="X31">
        <v>0.88480405526898886</v>
      </c>
      <c r="Y31">
        <v>0.39639914461476972</v>
      </c>
    </row>
    <row r="32" spans="1:25" x14ac:dyDescent="0.2">
      <c r="A32" t="s">
        <v>69</v>
      </c>
      <c r="B32" s="1">
        <v>0.42924532344672361</v>
      </c>
      <c r="C32" s="1">
        <v>0.20042312672133411</v>
      </c>
      <c r="D32" s="1">
        <v>0.73437034346590657</v>
      </c>
      <c r="E32" s="1">
        <v>0.76352805973419868</v>
      </c>
      <c r="F32" s="1">
        <v>1.7057308670111444</v>
      </c>
      <c r="G32" s="1">
        <v>0.44528640738706138</v>
      </c>
      <c r="H32" s="2">
        <v>0.10787812579984879</v>
      </c>
      <c r="I32" s="2">
        <v>1.3128415948009939</v>
      </c>
      <c r="J32" s="2">
        <v>0.61594795133665381</v>
      </c>
      <c r="K32" s="2">
        <v>3.2073704506664691E-2</v>
      </c>
      <c r="L32" s="2">
        <v>-6.6086484150753244E-2</v>
      </c>
      <c r="N32">
        <f t="shared" si="0"/>
        <v>0.71309735462772805</v>
      </c>
      <c r="O32">
        <f t="shared" si="1"/>
        <v>0.40053097845868157</v>
      </c>
      <c r="P32">
        <f t="shared" si="2"/>
        <v>1.2419149493464292</v>
      </c>
      <c r="Q32">
        <f t="shared" si="3"/>
        <v>0.37794686808661981</v>
      </c>
      <c r="R32">
        <f t="shared" si="4"/>
        <v>0.31256637616904642</v>
      </c>
      <c r="S32">
        <f t="shared" si="5"/>
        <v>0.42256924915393024</v>
      </c>
      <c r="T32" t="s">
        <v>69</v>
      </c>
      <c r="W32" t="s">
        <v>74</v>
      </c>
      <c r="X32">
        <v>-0.28776351558492425</v>
      </c>
      <c r="Y32">
        <v>0.39142660533976514</v>
      </c>
    </row>
    <row r="33" spans="1:25" x14ac:dyDescent="0.2">
      <c r="A33" t="s">
        <v>70</v>
      </c>
      <c r="B33" s="1">
        <v>-0.32662461080787319</v>
      </c>
      <c r="C33" s="1">
        <v>1.5011593732544199</v>
      </c>
      <c r="D33" s="1">
        <v>-0.36042256577942611</v>
      </c>
      <c r="E33" s="1">
        <v>1.0858505990999747</v>
      </c>
      <c r="F33" s="1">
        <v>0.53884750708844764</v>
      </c>
      <c r="G33" s="1">
        <v>0.84490575183559158</v>
      </c>
      <c r="H33" s="2">
        <v>-0.2319222143758517</v>
      </c>
      <c r="I33" s="2">
        <v>2.1909503895209843</v>
      </c>
      <c r="J33" s="2">
        <v>1.2860591328526143</v>
      </c>
      <c r="K33" s="2">
        <v>0.78988976304640435</v>
      </c>
      <c r="L33" s="2">
        <v>-1.2999594098111178</v>
      </c>
      <c r="N33">
        <f t="shared" si="0"/>
        <v>0.5472860091151891</v>
      </c>
      <c r="O33">
        <f t="shared" si="1"/>
        <v>0.54700353224660669</v>
      </c>
      <c r="P33">
        <f t="shared" si="2"/>
        <v>1.0001958172147196</v>
      </c>
      <c r="Q33">
        <f t="shared" si="3"/>
        <v>0.99968185787814989</v>
      </c>
      <c r="R33">
        <f t="shared" si="4"/>
        <v>2.8247686858239631E-4</v>
      </c>
      <c r="S33">
        <f t="shared" si="5"/>
        <v>1.381893510729253E-4</v>
      </c>
      <c r="T33" t="s">
        <v>70</v>
      </c>
      <c r="W33" t="s">
        <v>117</v>
      </c>
      <c r="X33">
        <v>0.7215627803045116</v>
      </c>
      <c r="Y33">
        <v>0.38287554302659865</v>
      </c>
    </row>
    <row r="34" spans="1:25" x14ac:dyDescent="0.2">
      <c r="A34" t="s">
        <v>71</v>
      </c>
      <c r="B34" s="1">
        <v>-0.9109025169885222</v>
      </c>
      <c r="C34" s="1">
        <v>-1.2277401840880624</v>
      </c>
      <c r="D34" s="1">
        <v>-1.5040975602901123</v>
      </c>
      <c r="E34" s="1">
        <v>-1.6438760780802024</v>
      </c>
      <c r="F34" s="1">
        <v>-1.1955208399088977</v>
      </c>
      <c r="G34" s="1">
        <v>-2.307468352327898</v>
      </c>
      <c r="H34" s="2">
        <v>-1.2678984007334428</v>
      </c>
      <c r="I34" s="2">
        <v>5.9046113964900115E-2</v>
      </c>
      <c r="J34" s="2">
        <v>0.21734499429412313</v>
      </c>
      <c r="K34" s="2">
        <v>-0.68134438249490681</v>
      </c>
      <c r="L34" s="2">
        <v>-0.8681067612062533</v>
      </c>
      <c r="N34">
        <f t="shared" si="0"/>
        <v>-1.4649342552806159</v>
      </c>
      <c r="O34">
        <f t="shared" si="1"/>
        <v>-0.50819168723511587</v>
      </c>
      <c r="P34">
        <f t="shared" si="2"/>
        <v>0.51521890335914211</v>
      </c>
      <c r="Q34">
        <f t="shared" si="3"/>
        <v>2.5597094467465716E-2</v>
      </c>
      <c r="R34">
        <f t="shared" si="4"/>
        <v>-0.95674256804549995</v>
      </c>
      <c r="S34">
        <f t="shared" si="5"/>
        <v>1.5918093287647423</v>
      </c>
      <c r="T34" t="s">
        <v>71</v>
      </c>
      <c r="W34" t="s">
        <v>76</v>
      </c>
      <c r="X34">
        <v>1.0477152223185604</v>
      </c>
      <c r="Y34">
        <v>0.36411720833436928</v>
      </c>
    </row>
    <row r="35" spans="1:25" x14ac:dyDescent="0.2">
      <c r="A35" t="s">
        <v>72</v>
      </c>
      <c r="B35" s="1">
        <v>1.1426208905561939</v>
      </c>
      <c r="C35" s="1">
        <v>1.1614154524317837</v>
      </c>
      <c r="D35" s="1">
        <v>3.8551655307893236</v>
      </c>
      <c r="E35" s="1">
        <v>0.74754931213336384</v>
      </c>
      <c r="F35" s="1">
        <v>1.8521903204772525</v>
      </c>
      <c r="G35" s="1">
        <v>2.3969458547762525</v>
      </c>
      <c r="H35" s="2">
        <v>2.4376006641133565</v>
      </c>
      <c r="I35" s="2">
        <v>4.1698019839625262</v>
      </c>
      <c r="J35" s="2">
        <v>0.99727382695125666</v>
      </c>
      <c r="K35" s="2">
        <v>1.8620984936946665</v>
      </c>
      <c r="L35" s="2">
        <v>0.65488708366396453</v>
      </c>
      <c r="N35">
        <f t="shared" si="0"/>
        <v>1.8593145601940282</v>
      </c>
      <c r="O35">
        <f t="shared" si="1"/>
        <v>2.0243324104771543</v>
      </c>
      <c r="P35">
        <f t="shared" si="2"/>
        <v>0.89191748376969282</v>
      </c>
      <c r="Q35">
        <f t="shared" si="3"/>
        <v>0.83723376522836723</v>
      </c>
      <c r="R35">
        <f t="shared" si="4"/>
        <v>-0.16501785028312602</v>
      </c>
      <c r="S35">
        <f t="shared" si="5"/>
        <v>7.7153265096061241E-2</v>
      </c>
      <c r="T35" t="s">
        <v>72</v>
      </c>
      <c r="W35" t="s">
        <v>56</v>
      </c>
      <c r="X35">
        <v>-0.47683027320439736</v>
      </c>
      <c r="Y35">
        <v>0.35386960898487463</v>
      </c>
    </row>
    <row r="36" spans="1:25" x14ac:dyDescent="0.2">
      <c r="A36" t="s">
        <v>73</v>
      </c>
      <c r="B36" s="1">
        <v>-0.13509660085039574</v>
      </c>
      <c r="C36" s="1">
        <v>1.9133215160394963</v>
      </c>
      <c r="D36" s="1">
        <v>1.7989062756756664</v>
      </c>
      <c r="E36" s="1">
        <v>0.83808356618724633</v>
      </c>
      <c r="F36" s="1">
        <v>1.2013632262066922</v>
      </c>
      <c r="G36" s="1">
        <v>1.0045420030327923</v>
      </c>
      <c r="H36" s="2">
        <v>0.71125858655259921</v>
      </c>
      <c r="I36" s="2">
        <v>1.0648893261677743</v>
      </c>
      <c r="J36" s="2">
        <v>0.22389509761559923</v>
      </c>
      <c r="K36" s="2">
        <v>1.7524563585394142</v>
      </c>
      <c r="L36" s="2">
        <v>1.0680751302230842</v>
      </c>
      <c r="N36">
        <f t="shared" si="0"/>
        <v>1.1035199977152497</v>
      </c>
      <c r="O36">
        <f t="shared" si="1"/>
        <v>0.96411489981969434</v>
      </c>
      <c r="P36">
        <f t="shared" si="2"/>
        <v>1.1014508337741691</v>
      </c>
      <c r="Q36">
        <f t="shared" si="3"/>
        <v>0.73133271691944768</v>
      </c>
      <c r="R36">
        <f t="shared" si="4"/>
        <v>0.13940509789555547</v>
      </c>
      <c r="S36">
        <f t="shared" si="5"/>
        <v>0.13588499753192079</v>
      </c>
      <c r="T36" t="s">
        <v>73</v>
      </c>
      <c r="W36" t="s">
        <v>110</v>
      </c>
      <c r="X36">
        <v>0.40357738917233771</v>
      </c>
      <c r="Y36">
        <v>0.34992478543754363</v>
      </c>
    </row>
    <row r="37" spans="1:25" x14ac:dyDescent="0.2">
      <c r="A37" t="s">
        <v>74</v>
      </c>
      <c r="B37" s="1">
        <v>-1.7932545841193213</v>
      </c>
      <c r="C37" s="1">
        <v>-1.4121906617437514</v>
      </c>
      <c r="D37" s="1">
        <v>-0.91786637856610431</v>
      </c>
      <c r="E37" s="1">
        <v>-1.7568910107920512</v>
      </c>
      <c r="F37" s="1">
        <v>-1.9724849715275365</v>
      </c>
      <c r="G37" s="1">
        <v>-1.2580873854810064</v>
      </c>
      <c r="H37" s="2">
        <v>-1.6955552871351696</v>
      </c>
      <c r="I37" s="2">
        <v>-0.57914981472945981</v>
      </c>
      <c r="J37" s="2">
        <v>-1.6068820641679697</v>
      </c>
      <c r="K37" s="2">
        <v>-1.7603686016456197</v>
      </c>
      <c r="L37" s="2">
        <v>-0.51153914792196875</v>
      </c>
      <c r="N37">
        <f t="shared" si="0"/>
        <v>-1.518462498704962</v>
      </c>
      <c r="O37">
        <f t="shared" si="1"/>
        <v>-1.2306989831200377</v>
      </c>
      <c r="P37">
        <f t="shared" si="2"/>
        <v>0.81917096413539947</v>
      </c>
      <c r="Q37">
        <f t="shared" si="3"/>
        <v>0.40604427790133524</v>
      </c>
      <c r="R37">
        <f t="shared" si="4"/>
        <v>-0.28776351558492425</v>
      </c>
      <c r="S37">
        <f t="shared" si="5"/>
        <v>0.39142660533976514</v>
      </c>
      <c r="T37" t="s">
        <v>74</v>
      </c>
      <c r="W37" t="s">
        <v>77</v>
      </c>
      <c r="X37">
        <v>-0.4106694029877509</v>
      </c>
      <c r="Y37">
        <v>0.34290450449276666</v>
      </c>
    </row>
    <row r="38" spans="1:25" x14ac:dyDescent="0.2">
      <c r="A38" t="s">
        <v>75</v>
      </c>
      <c r="B38" s="1">
        <v>-0.96747179563356434</v>
      </c>
      <c r="C38" s="1">
        <v>-1.2477882571682342</v>
      </c>
      <c r="D38" s="1">
        <v>-1.0231933971306442</v>
      </c>
      <c r="E38" s="1">
        <v>-0.60236236668336829</v>
      </c>
      <c r="F38" s="1">
        <v>0.74263970267570223</v>
      </c>
      <c r="G38" s="1">
        <v>-0.71258759702018171</v>
      </c>
      <c r="H38" s="2">
        <v>-1.5289726877783538</v>
      </c>
      <c r="I38" s="2">
        <v>-4.5692164217664047E-2</v>
      </c>
      <c r="J38" s="2">
        <v>0.17219546138577008</v>
      </c>
      <c r="K38" s="2">
        <v>6.978230205073005E-2</v>
      </c>
      <c r="L38" s="2">
        <v>-1.5901715394122538</v>
      </c>
      <c r="N38">
        <f t="shared" si="0"/>
        <v>-0.63512728516004835</v>
      </c>
      <c r="O38">
        <f t="shared" si="1"/>
        <v>-0.58457172559435422</v>
      </c>
      <c r="P38">
        <f t="shared" si="2"/>
        <v>0.96556443338179188</v>
      </c>
      <c r="Q38">
        <f t="shared" si="3"/>
        <v>0.9211852206742146</v>
      </c>
      <c r="R38">
        <f t="shared" si="4"/>
        <v>-5.0555559565694096E-2</v>
      </c>
      <c r="S38">
        <f t="shared" si="5"/>
        <v>3.5653038392482801E-2</v>
      </c>
      <c r="T38" t="s">
        <v>75</v>
      </c>
      <c r="W38" t="s">
        <v>122</v>
      </c>
      <c r="X38">
        <v>-0.49260419586338772</v>
      </c>
      <c r="Y38">
        <v>0.33731659138169684</v>
      </c>
    </row>
    <row r="39" spans="1:25" x14ac:dyDescent="0.2">
      <c r="A39" t="s">
        <v>76</v>
      </c>
      <c r="B39" s="1">
        <v>5.5225369602054233</v>
      </c>
      <c r="C39" s="1">
        <v>-1.0565347796679665</v>
      </c>
      <c r="D39" s="1">
        <v>-0.35361390882402643</v>
      </c>
      <c r="E39" s="1">
        <v>-0.50278430148179654</v>
      </c>
      <c r="F39" s="1">
        <v>0.70635279791842676</v>
      </c>
      <c r="G39" s="1">
        <v>-0.16806549438045532</v>
      </c>
      <c r="H39" s="2">
        <v>1.1117099324593365</v>
      </c>
      <c r="I39" s="2">
        <v>1.4030874879740967</v>
      </c>
      <c r="J39" s="2">
        <v>-0.62069565491480927</v>
      </c>
      <c r="K39" s="2">
        <v>-3.060648272531953</v>
      </c>
      <c r="L39" s="2">
        <v>-0.61545354310480138</v>
      </c>
      <c r="N39">
        <f t="shared" si="0"/>
        <v>0.69131521229493409</v>
      </c>
      <c r="O39">
        <f t="shared" si="1"/>
        <v>-0.35640001002362609</v>
      </c>
      <c r="P39">
        <f t="shared" si="2"/>
        <v>2.0672533711907537</v>
      </c>
      <c r="Q39">
        <f t="shared" si="3"/>
        <v>0.43239711901650257</v>
      </c>
      <c r="R39">
        <f t="shared" si="4"/>
        <v>1.0477152223185604</v>
      </c>
      <c r="S39">
        <f t="shared" si="5"/>
        <v>0.36411720833436928</v>
      </c>
      <c r="T39" t="s">
        <v>76</v>
      </c>
      <c r="W39" t="s">
        <v>107</v>
      </c>
      <c r="X39">
        <v>0.89038349697018437</v>
      </c>
      <c r="Y39">
        <v>0.3292126492568751</v>
      </c>
    </row>
    <row r="40" spans="1:25" x14ac:dyDescent="0.2">
      <c r="A40" t="s">
        <v>77</v>
      </c>
      <c r="B40" s="1">
        <v>-0.31500637370183665</v>
      </c>
      <c r="C40" s="1">
        <v>0.53824457216478638</v>
      </c>
      <c r="D40" s="1">
        <v>-0.76539834965059872</v>
      </c>
      <c r="E40" s="1">
        <v>-1.0151415553336638</v>
      </c>
      <c r="F40" s="1">
        <v>-1.2280679418472054</v>
      </c>
      <c r="G40" s="1">
        <v>-1.5340886307718753</v>
      </c>
      <c r="H40" s="2">
        <v>0.31573960263854717</v>
      </c>
      <c r="I40" s="2">
        <v>0.86983726182128518</v>
      </c>
      <c r="J40" s="2">
        <v>-1.2975696880175009</v>
      </c>
      <c r="K40" s="2">
        <v>-1.211008353231251</v>
      </c>
      <c r="L40" s="2">
        <v>-0.22320037422265385</v>
      </c>
      <c r="N40">
        <f t="shared" si="0"/>
        <v>-0.71990971319006558</v>
      </c>
      <c r="O40">
        <f t="shared" si="1"/>
        <v>-0.30924031020231468</v>
      </c>
      <c r="P40">
        <f t="shared" si="2"/>
        <v>0.75227424138263288</v>
      </c>
      <c r="Q40">
        <f t="shared" si="3"/>
        <v>0.45404144327261065</v>
      </c>
      <c r="R40">
        <f t="shared" si="4"/>
        <v>-0.4106694029877509</v>
      </c>
      <c r="S40">
        <f t="shared" si="5"/>
        <v>0.34290450449276666</v>
      </c>
      <c r="T40" t="s">
        <v>77</v>
      </c>
      <c r="W40" t="s">
        <v>89</v>
      </c>
      <c r="X40">
        <v>0.21441038511119612</v>
      </c>
      <c r="Y40">
        <v>0.30060893539981731</v>
      </c>
    </row>
    <row r="41" spans="1:25" x14ac:dyDescent="0.2">
      <c r="A41" t="s">
        <v>78</v>
      </c>
      <c r="B41" s="1">
        <v>-0.49668140373422903</v>
      </c>
      <c r="C41" s="1">
        <v>-8.1299650259889028E-2</v>
      </c>
      <c r="D41" s="1">
        <v>0.64016307844262199</v>
      </c>
      <c r="E41" s="1">
        <v>-1.069611279772156</v>
      </c>
      <c r="F41" s="1">
        <v>-1.7850153121213599</v>
      </c>
      <c r="G41" s="1">
        <v>-0.58733723032492191</v>
      </c>
      <c r="H41" s="2">
        <v>-0.86236900111397874</v>
      </c>
      <c r="I41" s="2">
        <v>-0.6436855276645207</v>
      </c>
      <c r="J41" s="2">
        <v>-1.1153094597590045</v>
      </c>
      <c r="K41" s="2">
        <v>-1.0347483910898547</v>
      </c>
      <c r="L41" s="2">
        <v>-0.20001649492474671</v>
      </c>
      <c r="N41">
        <f t="shared" si="0"/>
        <v>-0.56329696629498904</v>
      </c>
      <c r="O41">
        <f t="shared" si="1"/>
        <v>-0.7712257749104211</v>
      </c>
      <c r="P41">
        <f t="shared" si="2"/>
        <v>1.1550287869726115</v>
      </c>
      <c r="Q41">
        <f t="shared" si="3"/>
        <v>0.59721047340345845</v>
      </c>
      <c r="R41">
        <f t="shared" si="4"/>
        <v>0.20792880861543217</v>
      </c>
      <c r="S41">
        <f t="shared" si="5"/>
        <v>0.22387258456817064</v>
      </c>
      <c r="T41" t="s">
        <v>78</v>
      </c>
      <c r="W41" t="s">
        <v>112</v>
      </c>
      <c r="X41">
        <v>0.45872638042613906</v>
      </c>
      <c r="Y41">
        <v>0.29940231478713447</v>
      </c>
    </row>
    <row r="42" spans="1:25" x14ac:dyDescent="0.2">
      <c r="A42" t="s">
        <v>79</v>
      </c>
      <c r="B42" s="1">
        <v>0.41120877890904639</v>
      </c>
      <c r="C42" s="1">
        <v>2.6708094046987805</v>
      </c>
      <c r="D42" s="1">
        <v>3.1960320584378903</v>
      </c>
      <c r="E42" s="1">
        <v>1.2346713043303004</v>
      </c>
      <c r="F42" s="1">
        <v>1.6045808248596032</v>
      </c>
      <c r="G42" s="1">
        <v>1.5573360357477632</v>
      </c>
      <c r="H42" s="2">
        <v>2.0704870178707422</v>
      </c>
      <c r="I42" s="2">
        <v>2.2329050075991619</v>
      </c>
      <c r="J42" s="2">
        <v>1.9760043653969219</v>
      </c>
      <c r="K42" s="2">
        <v>3.0287577532946317</v>
      </c>
      <c r="L42" s="2">
        <v>1.8871861037337718</v>
      </c>
      <c r="N42">
        <f t="shared" si="0"/>
        <v>1.7791064011638973</v>
      </c>
      <c r="O42">
        <f t="shared" si="1"/>
        <v>2.2390680495790458</v>
      </c>
      <c r="P42">
        <f t="shared" si="2"/>
        <v>0.7270055846056831</v>
      </c>
      <c r="Q42">
        <f t="shared" si="3"/>
        <v>0.34844763404055235</v>
      </c>
      <c r="R42">
        <f t="shared" si="4"/>
        <v>-0.45996164841514864</v>
      </c>
      <c r="S42">
        <f t="shared" si="5"/>
        <v>0.45786247999361968</v>
      </c>
      <c r="T42" t="s">
        <v>79</v>
      </c>
      <c r="W42" t="s">
        <v>120</v>
      </c>
      <c r="X42">
        <v>0.31800723565083727</v>
      </c>
      <c r="Y42">
        <v>0.28989020983232372</v>
      </c>
    </row>
    <row r="43" spans="1:25" x14ac:dyDescent="0.2">
      <c r="A43" t="s">
        <v>80</v>
      </c>
      <c r="B43" s="1">
        <v>3.541646303465757</v>
      </c>
      <c r="C43" s="1">
        <v>-1.0999885104607116E-2</v>
      </c>
      <c r="D43" s="1">
        <v>-7.3742622589900997E-3</v>
      </c>
      <c r="E43" s="1">
        <v>0.36948037712327786</v>
      </c>
      <c r="F43" s="1">
        <v>0.45729884832955425</v>
      </c>
      <c r="G43" s="1">
        <v>-0.23235877184337894</v>
      </c>
      <c r="H43" s="2">
        <v>0.7110721336461624</v>
      </c>
      <c r="I43" s="2">
        <v>0.3397738169289764</v>
      </c>
      <c r="J43" s="2">
        <v>-0.41959980465669255</v>
      </c>
      <c r="K43" s="2">
        <v>-2.0336364642709626</v>
      </c>
      <c r="L43" s="2">
        <v>-1.0139823458016826</v>
      </c>
      <c r="N43">
        <f t="shared" si="0"/>
        <v>0.68628210161860215</v>
      </c>
      <c r="O43">
        <f t="shared" si="1"/>
        <v>-0.48327453283083982</v>
      </c>
      <c r="P43">
        <f t="shared" si="2"/>
        <v>2.2494255751171348</v>
      </c>
      <c r="Q43">
        <f t="shared" si="3"/>
        <v>0.15810291089242121</v>
      </c>
      <c r="R43">
        <f t="shared" si="4"/>
        <v>1.1695566344494419</v>
      </c>
      <c r="S43">
        <f t="shared" si="5"/>
        <v>0.80106013403440579</v>
      </c>
      <c r="T43" t="s">
        <v>80</v>
      </c>
      <c r="W43" t="s">
        <v>59</v>
      </c>
      <c r="X43">
        <v>0.34763854209414469</v>
      </c>
      <c r="Y43">
        <v>0.28632793246199106</v>
      </c>
    </row>
    <row r="44" spans="1:25" x14ac:dyDescent="0.2">
      <c r="A44" t="s">
        <v>81</v>
      </c>
      <c r="B44" s="1">
        <v>1.9482340042482695</v>
      </c>
      <c r="C44" s="1">
        <v>2.7498709869948694</v>
      </c>
      <c r="D44" s="1">
        <v>0.98926089761949965</v>
      </c>
      <c r="E44" s="1">
        <v>1.0993417694985297</v>
      </c>
      <c r="F44" s="1">
        <v>0.7259682866856132</v>
      </c>
      <c r="G44" s="1">
        <v>1.3095309991145552</v>
      </c>
      <c r="H44" s="2">
        <v>0.78690691192548234</v>
      </c>
      <c r="I44" s="2">
        <v>0.72499548956451232</v>
      </c>
      <c r="J44" s="2">
        <v>0.96663023014659233</v>
      </c>
      <c r="K44" s="2">
        <v>4.6549332367705365E-2</v>
      </c>
      <c r="L44" s="2">
        <v>0.3377869018581614</v>
      </c>
      <c r="N44">
        <f t="shared" ref="N44:N75" si="6">AVERAGE(B44:G44)</f>
        <v>1.4703678240268896</v>
      </c>
      <c r="O44">
        <f t="shared" ref="O44:O75" si="7">AVERAGE(H44:L44)</f>
        <v>0.57257377317249081</v>
      </c>
      <c r="P44">
        <f t="shared" ref="P44:P75" si="8">2^(N44 - O44)</f>
        <v>1.8632148599833278</v>
      </c>
      <c r="Q44">
        <f t="shared" ref="Q44:Q75" si="9">_xlfn.T.TEST(B44:G44,H44:L44, 2, 3)</f>
        <v>3.4427562131472231E-2</v>
      </c>
      <c r="R44">
        <f t="shared" ref="R44:R75" si="10">LOG(P44,2)</f>
        <v>0.89779405085439878</v>
      </c>
      <c r="S44">
        <f t="shared" ref="S44:S75" si="11">-LOG(Q44,10)</f>
        <v>1.4630937292655353</v>
      </c>
      <c r="T44" t="s">
        <v>81</v>
      </c>
      <c r="W44" t="s">
        <v>102</v>
      </c>
      <c r="X44">
        <v>0.41861947981835312</v>
      </c>
      <c r="Y44">
        <v>0.28566487807749635</v>
      </c>
    </row>
    <row r="45" spans="1:25" x14ac:dyDescent="0.2">
      <c r="A45" t="s">
        <v>82</v>
      </c>
      <c r="B45" s="1">
        <v>-2.0489014543950579E-2</v>
      </c>
      <c r="C45" s="1">
        <v>3.9549947347409611</v>
      </c>
      <c r="D45" s="1">
        <v>2.4705943319760313</v>
      </c>
      <c r="E45" s="1">
        <v>0.35832318682966147</v>
      </c>
      <c r="F45" s="1">
        <v>1.9103613016569443</v>
      </c>
      <c r="G45" s="1">
        <v>3.8810638121631946</v>
      </c>
      <c r="H45" s="2">
        <v>2.3646757760285908</v>
      </c>
      <c r="I45" s="2">
        <v>2.1532903297852304</v>
      </c>
      <c r="J45" s="2">
        <v>2.2963950728600704</v>
      </c>
      <c r="K45" s="2">
        <v>1.5635810942317976</v>
      </c>
      <c r="L45" s="2">
        <v>2.8888860081300405</v>
      </c>
      <c r="N45">
        <f t="shared" si="6"/>
        <v>2.0924747254704736</v>
      </c>
      <c r="O45">
        <f t="shared" si="7"/>
        <v>2.2533656562071456</v>
      </c>
      <c r="P45">
        <f t="shared" si="8"/>
        <v>0.89447252229047647</v>
      </c>
      <c r="Q45">
        <f t="shared" si="9"/>
        <v>0.83131906917133758</v>
      </c>
      <c r="R45">
        <f t="shared" si="10"/>
        <v>-0.16089093073667185</v>
      </c>
      <c r="S45">
        <f t="shared" si="11"/>
        <v>8.0232257341361315E-2</v>
      </c>
      <c r="T45" t="s">
        <v>82</v>
      </c>
      <c r="W45" t="s">
        <v>125</v>
      </c>
      <c r="X45">
        <v>-0.19145144148923035</v>
      </c>
      <c r="Y45">
        <v>0.2640281444976863</v>
      </c>
    </row>
    <row r="46" spans="1:25" x14ac:dyDescent="0.2">
      <c r="A46" t="s">
        <v>83</v>
      </c>
      <c r="B46" s="1">
        <v>-1.7821368604201102</v>
      </c>
      <c r="C46" s="1">
        <v>0.38876273849550458</v>
      </c>
      <c r="D46" s="1">
        <v>-1.3182775131322424</v>
      </c>
      <c r="E46" s="1">
        <v>-1.1328208851387234</v>
      </c>
      <c r="F46" s="1">
        <v>-0.2512707238934303</v>
      </c>
      <c r="G46" s="1">
        <v>-0.21353618404235131</v>
      </c>
      <c r="H46" s="2">
        <v>-0.44409795270660013</v>
      </c>
      <c r="I46" s="2">
        <v>-0.55298388804191012</v>
      </c>
      <c r="J46" s="2">
        <v>-7.0922863130890135E-2</v>
      </c>
      <c r="K46" s="2">
        <v>0.31053804602525181</v>
      </c>
      <c r="L46" s="2">
        <v>0.8376799531557988</v>
      </c>
      <c r="N46">
        <f t="shared" si="6"/>
        <v>-0.71821323802189208</v>
      </c>
      <c r="O46">
        <f t="shared" si="7"/>
        <v>1.6042659060330068E-2</v>
      </c>
      <c r="P46">
        <f t="shared" si="8"/>
        <v>0.60112799031111674</v>
      </c>
      <c r="Q46">
        <f t="shared" si="9"/>
        <v>0.11597110393630275</v>
      </c>
      <c r="R46">
        <f t="shared" si="10"/>
        <v>-0.73425589708222228</v>
      </c>
      <c r="S46">
        <f t="shared" si="11"/>
        <v>0.93565020874140081</v>
      </c>
      <c r="T46" t="s">
        <v>83</v>
      </c>
      <c r="W46" t="s">
        <v>84</v>
      </c>
      <c r="X46">
        <v>-0.51798777066954249</v>
      </c>
      <c r="Y46">
        <v>0.22698612094648352</v>
      </c>
    </row>
    <row r="47" spans="1:25" x14ac:dyDescent="0.2">
      <c r="A47" t="s">
        <v>84</v>
      </c>
      <c r="B47" s="1">
        <v>0.95270170436341362</v>
      </c>
      <c r="C47" s="1">
        <v>5.2631176316606538</v>
      </c>
      <c r="D47" s="1">
        <v>0.4531316190153436</v>
      </c>
      <c r="E47" s="1">
        <v>1.3113810122476637</v>
      </c>
      <c r="F47" s="1">
        <v>2.0228406717150529</v>
      </c>
      <c r="G47" s="1">
        <v>1.3947556921550928</v>
      </c>
      <c r="H47" s="2">
        <v>3.1576969833892918</v>
      </c>
      <c r="I47" s="2">
        <v>4.4213676759680123</v>
      </c>
      <c r="J47" s="2">
        <v>1.2598544547713786</v>
      </c>
      <c r="K47" s="2">
        <v>1.1976605086760916</v>
      </c>
      <c r="L47" s="2">
        <v>2.0516328398406216</v>
      </c>
      <c r="N47">
        <f t="shared" si="6"/>
        <v>1.8996547218595365</v>
      </c>
      <c r="O47">
        <f t="shared" si="7"/>
        <v>2.4176424925290791</v>
      </c>
      <c r="P47">
        <f t="shared" si="8"/>
        <v>0.69834518588935224</v>
      </c>
      <c r="Q47">
        <f t="shared" si="9"/>
        <v>0.59294427341345102</v>
      </c>
      <c r="R47">
        <f t="shared" si="10"/>
        <v>-0.51798777066954249</v>
      </c>
      <c r="S47">
        <f t="shared" si="11"/>
        <v>0.22698612094648352</v>
      </c>
      <c r="T47" t="s">
        <v>84</v>
      </c>
      <c r="W47" t="s">
        <v>78</v>
      </c>
      <c r="X47">
        <v>0.20792880861543217</v>
      </c>
      <c r="Y47">
        <v>0.22387258456817064</v>
      </c>
    </row>
    <row r="48" spans="1:25" x14ac:dyDescent="0.2">
      <c r="A48" t="s">
        <v>85</v>
      </c>
      <c r="B48" s="1">
        <v>-0.22978403201902042</v>
      </c>
      <c r="C48" s="1">
        <v>2.4014687369223315</v>
      </c>
      <c r="D48" s="1">
        <v>1.2592902821641514</v>
      </c>
      <c r="E48" s="1">
        <v>0.27768110137971158</v>
      </c>
      <c r="F48" s="1">
        <v>1.690399024745741</v>
      </c>
      <c r="G48" s="1">
        <v>2.875126118197981</v>
      </c>
      <c r="H48" s="2">
        <v>1.6893998530495606</v>
      </c>
      <c r="I48" s="2">
        <v>1.9988223411421506</v>
      </c>
      <c r="J48" s="2">
        <v>2.1804893806893904</v>
      </c>
      <c r="K48" s="2">
        <v>0.49572692559412246</v>
      </c>
      <c r="L48" s="2">
        <v>1.7070087567522205</v>
      </c>
      <c r="N48">
        <f t="shared" si="6"/>
        <v>1.379030205231816</v>
      </c>
      <c r="O48">
        <f t="shared" si="7"/>
        <v>1.6142894514454891</v>
      </c>
      <c r="P48">
        <f t="shared" si="8"/>
        <v>0.84953232804579626</v>
      </c>
      <c r="Q48">
        <f t="shared" si="9"/>
        <v>0.69142699043142519</v>
      </c>
      <c r="R48">
        <f t="shared" si="10"/>
        <v>-0.2352592462136732</v>
      </c>
      <c r="S48">
        <f t="shared" si="11"/>
        <v>0.16025367141402835</v>
      </c>
      <c r="T48" t="s">
        <v>85</v>
      </c>
      <c r="W48" t="s">
        <v>54</v>
      </c>
      <c r="X48">
        <v>0.52248456752659411</v>
      </c>
      <c r="Y48">
        <v>0.20976944470082529</v>
      </c>
    </row>
    <row r="49" spans="1:25" x14ac:dyDescent="0.2">
      <c r="A49" t="s">
        <v>86</v>
      </c>
      <c r="B49" s="1">
        <v>-1.3245671402673208E-2</v>
      </c>
      <c r="C49" s="1">
        <v>-0.64743336327903811</v>
      </c>
      <c r="D49" s="1">
        <v>-1.176377783774545</v>
      </c>
      <c r="E49" s="1">
        <v>-0.77584798641488195</v>
      </c>
      <c r="F49" s="1">
        <v>-1.4549333370350239</v>
      </c>
      <c r="G49" s="1">
        <v>-0.75610067188531804</v>
      </c>
      <c r="H49" s="2">
        <v>-0.64397538497830686</v>
      </c>
      <c r="I49" s="2">
        <v>-0.71310969078539488</v>
      </c>
      <c r="J49" s="2">
        <v>-1.2167127179302226E-2</v>
      </c>
      <c r="K49" s="2">
        <v>-0.67193176856951986</v>
      </c>
      <c r="L49" s="2">
        <v>-0.2961162183635998</v>
      </c>
      <c r="N49">
        <f t="shared" si="6"/>
        <v>-0.80398980229857997</v>
      </c>
      <c r="O49">
        <f t="shared" si="7"/>
        <v>-0.46746003797522473</v>
      </c>
      <c r="P49">
        <f t="shared" si="8"/>
        <v>0.79194395202644496</v>
      </c>
      <c r="Q49">
        <f t="shared" si="9"/>
        <v>0.20154649408484379</v>
      </c>
      <c r="R49">
        <f t="shared" si="10"/>
        <v>-0.3365297643233553</v>
      </c>
      <c r="S49">
        <f t="shared" si="11"/>
        <v>0.69562475202767093</v>
      </c>
      <c r="T49" t="s">
        <v>86</v>
      </c>
      <c r="W49" t="s">
        <v>62</v>
      </c>
      <c r="X49">
        <v>-0.3575099136999062</v>
      </c>
      <c r="Y49">
        <v>0.20471544826535226</v>
      </c>
    </row>
    <row r="50" spans="1:25" x14ac:dyDescent="0.2">
      <c r="A50" t="s">
        <v>87</v>
      </c>
      <c r="B50" s="1">
        <v>1.7536277143493009</v>
      </c>
      <c r="C50" s="1">
        <v>4.590935589953661</v>
      </c>
      <c r="D50" s="1">
        <v>1.2704381933451807</v>
      </c>
      <c r="E50" s="1">
        <v>1.7739775959879807</v>
      </c>
      <c r="F50" s="1">
        <v>3.0380279190433317</v>
      </c>
      <c r="G50" s="1">
        <v>0.98176074094252153</v>
      </c>
      <c r="H50" s="2">
        <v>2.7114934105250392</v>
      </c>
      <c r="I50" s="2">
        <v>3.5721692706276293</v>
      </c>
      <c r="J50" s="2">
        <v>1.7044757384363733</v>
      </c>
      <c r="K50" s="2">
        <v>1.1780487954950203</v>
      </c>
      <c r="L50" s="2">
        <v>2.2471118458769892</v>
      </c>
      <c r="N50">
        <f t="shared" si="6"/>
        <v>2.2347946256036626</v>
      </c>
      <c r="O50">
        <f t="shared" si="7"/>
        <v>2.2826598121922101</v>
      </c>
      <c r="P50">
        <f t="shared" si="8"/>
        <v>0.96736672149235436</v>
      </c>
      <c r="Q50">
        <f t="shared" si="9"/>
        <v>0.94618387491520117</v>
      </c>
      <c r="R50">
        <f t="shared" si="10"/>
        <v>-4.7865186588547347E-2</v>
      </c>
      <c r="S50">
        <f t="shared" si="11"/>
        <v>2.4024457571560125E-2</v>
      </c>
      <c r="T50" t="s">
        <v>87</v>
      </c>
      <c r="W50" t="s">
        <v>48</v>
      </c>
      <c r="X50">
        <v>0.24814156370077439</v>
      </c>
      <c r="Y50">
        <v>0.20453408115638685</v>
      </c>
    </row>
    <row r="51" spans="1:25" x14ac:dyDescent="0.2">
      <c r="A51" t="s">
        <v>88</v>
      </c>
      <c r="B51" s="1">
        <v>0.31128126371703835</v>
      </c>
      <c r="C51" s="1">
        <v>2.7295585932146484</v>
      </c>
      <c r="D51" s="1">
        <v>2.8299468469730686</v>
      </c>
      <c r="E51" s="1">
        <v>0.56263570022718845</v>
      </c>
      <c r="F51" s="1">
        <v>1.7775558009943111</v>
      </c>
      <c r="G51" s="1">
        <v>2.8220826977584013</v>
      </c>
      <c r="H51" s="2">
        <v>1.0283833534563143</v>
      </c>
      <c r="I51" s="2">
        <v>1.7003295872525153</v>
      </c>
      <c r="J51" s="2">
        <v>1.0377741674853522</v>
      </c>
      <c r="K51" s="2">
        <v>-1.4649416337145782E-2</v>
      </c>
      <c r="L51" s="2">
        <v>1.0656720017748003</v>
      </c>
      <c r="N51">
        <f t="shared" si="6"/>
        <v>1.8388434838141094</v>
      </c>
      <c r="O51">
        <f t="shared" si="7"/>
        <v>0.96350193872636736</v>
      </c>
      <c r="P51">
        <f t="shared" si="8"/>
        <v>1.8344423227432554</v>
      </c>
      <c r="Q51">
        <f t="shared" si="9"/>
        <v>0.14919446094317354</v>
      </c>
      <c r="R51">
        <f t="shared" si="10"/>
        <v>0.8753415450877422</v>
      </c>
      <c r="S51">
        <f t="shared" si="11"/>
        <v>0.82624730036515592</v>
      </c>
      <c r="T51" t="s">
        <v>88</v>
      </c>
      <c r="W51" t="s">
        <v>100</v>
      </c>
      <c r="X51">
        <v>0.21227544079905597</v>
      </c>
      <c r="Y51">
        <v>0.18397561249892985</v>
      </c>
    </row>
    <row r="52" spans="1:25" x14ac:dyDescent="0.2">
      <c r="A52" t="s">
        <v>89</v>
      </c>
      <c r="B52" s="1">
        <v>1.8910447112491813</v>
      </c>
      <c r="C52" s="1">
        <v>2.0255162008932612</v>
      </c>
      <c r="D52" s="1">
        <v>2.7468644238872613</v>
      </c>
      <c r="E52" s="1">
        <v>1.1859619120081113</v>
      </c>
      <c r="F52" s="1">
        <v>1.8302629866811979</v>
      </c>
      <c r="G52" s="1">
        <v>2.946887580582628</v>
      </c>
      <c r="H52" s="2">
        <v>2.0909330457743214</v>
      </c>
      <c r="I52" s="2">
        <v>1.7264239371452073</v>
      </c>
      <c r="J52" s="2">
        <v>1.4212776088572643</v>
      </c>
      <c r="K52" s="2">
        <v>1.9248787890366832</v>
      </c>
      <c r="L52" s="2">
        <v>2.2865495397152413</v>
      </c>
      <c r="N52">
        <f t="shared" si="6"/>
        <v>2.1044229692169401</v>
      </c>
      <c r="O52">
        <f t="shared" si="7"/>
        <v>1.8900125841057438</v>
      </c>
      <c r="P52">
        <f t="shared" si="8"/>
        <v>1.1602296433410788</v>
      </c>
      <c r="Q52">
        <f t="shared" si="9"/>
        <v>0.50048499861541462</v>
      </c>
      <c r="R52">
        <f t="shared" si="10"/>
        <v>0.21441038511119612</v>
      </c>
      <c r="S52">
        <f t="shared" si="11"/>
        <v>0.30060893539981731</v>
      </c>
      <c r="T52" t="s">
        <v>89</v>
      </c>
      <c r="W52" t="s">
        <v>65</v>
      </c>
      <c r="X52">
        <v>0.24733470056737555</v>
      </c>
      <c r="Y52">
        <v>0.1807220229358445</v>
      </c>
    </row>
    <row r="53" spans="1:25" x14ac:dyDescent="0.2">
      <c r="A53" t="s">
        <v>90</v>
      </c>
      <c r="B53" s="1">
        <v>0.31012422095888981</v>
      </c>
      <c r="C53" s="1">
        <v>-0.25631370454456626</v>
      </c>
      <c r="D53" s="1">
        <v>0.70407467882528474</v>
      </c>
      <c r="E53" s="1">
        <v>-0.14418121617631924</v>
      </c>
      <c r="F53" s="1">
        <v>1.992596620613363</v>
      </c>
      <c r="G53" s="1">
        <v>0.37699386298152793</v>
      </c>
      <c r="H53" s="2">
        <v>-5.9670139049610049E-2</v>
      </c>
      <c r="I53" s="2">
        <v>0.45687568713096527</v>
      </c>
      <c r="J53" s="2">
        <v>1.450710108983539</v>
      </c>
      <c r="K53" s="2">
        <v>1.1067774724443009</v>
      </c>
      <c r="L53" s="2">
        <v>0.39152998275465795</v>
      </c>
      <c r="N53">
        <f t="shared" si="6"/>
        <v>0.49721574377636335</v>
      </c>
      <c r="O53">
        <f t="shared" si="7"/>
        <v>0.66924462245277061</v>
      </c>
      <c r="P53">
        <f t="shared" si="8"/>
        <v>0.88759356997751349</v>
      </c>
      <c r="Q53">
        <f t="shared" si="9"/>
        <v>0.69707542295541391</v>
      </c>
      <c r="R53">
        <f t="shared" si="10"/>
        <v>-0.17202887867640745</v>
      </c>
      <c r="S53">
        <f t="shared" si="11"/>
        <v>0.15672022907385849</v>
      </c>
      <c r="T53" t="s">
        <v>90</v>
      </c>
      <c r="W53" t="s">
        <v>109</v>
      </c>
      <c r="X53">
        <v>0.27785297948682797</v>
      </c>
      <c r="Y53">
        <v>0.17644547022232493</v>
      </c>
    </row>
    <row r="54" spans="1:25" x14ac:dyDescent="0.2">
      <c r="A54" t="s">
        <v>91</v>
      </c>
      <c r="B54" s="1">
        <v>-1.3420239744945697</v>
      </c>
      <c r="C54" s="1">
        <v>0.22045450696699526</v>
      </c>
      <c r="D54" s="1">
        <v>-1.1071195562227096</v>
      </c>
      <c r="E54" s="1">
        <v>-0.86432008645229275</v>
      </c>
      <c r="F54" s="1">
        <v>0.93549215005985364</v>
      </c>
      <c r="G54" s="1">
        <v>-0.83294224558343333</v>
      </c>
      <c r="H54" s="2">
        <v>-0.16243258595711707</v>
      </c>
      <c r="I54" s="2">
        <v>-4.9223552284690664E-3</v>
      </c>
      <c r="J54" s="2">
        <v>7.8421768072916953E-2</v>
      </c>
      <c r="K54" s="2">
        <v>0.85098600781644496</v>
      </c>
      <c r="L54" s="2">
        <v>-9.6620289560664041E-2</v>
      </c>
      <c r="N54">
        <f t="shared" si="6"/>
        <v>-0.49840986762102601</v>
      </c>
      <c r="O54">
        <f t="shared" si="7"/>
        <v>0.13308650902862235</v>
      </c>
      <c r="P54">
        <f t="shared" si="8"/>
        <v>0.64550654261906038</v>
      </c>
      <c r="Q54">
        <f t="shared" si="9"/>
        <v>0.16088386260327087</v>
      </c>
      <c r="R54">
        <f t="shared" si="10"/>
        <v>-0.63149637664964853</v>
      </c>
      <c r="S54">
        <f t="shared" si="11"/>
        <v>0.79348751546483987</v>
      </c>
      <c r="T54" t="s">
        <v>91</v>
      </c>
      <c r="W54" t="s">
        <v>123</v>
      </c>
      <c r="X54">
        <v>-0.25427159716244963</v>
      </c>
      <c r="Y54">
        <v>0.17493211143406107</v>
      </c>
    </row>
    <row r="55" spans="1:25" x14ac:dyDescent="0.2">
      <c r="A55" t="s">
        <v>92</v>
      </c>
      <c r="B55" s="1">
        <v>0.34374133739947821</v>
      </c>
      <c r="C55" s="1">
        <v>-0.30095999585081079</v>
      </c>
      <c r="D55" s="1">
        <v>1.4764964890958661</v>
      </c>
      <c r="E55" s="1">
        <v>4.3233747371253184E-2</v>
      </c>
      <c r="F55" s="1">
        <v>0.52082725077150549</v>
      </c>
      <c r="G55" s="1">
        <v>0.79562357416244844</v>
      </c>
      <c r="H55" s="2">
        <v>-0.59309941352000228</v>
      </c>
      <c r="I55" s="2">
        <v>-0.45029499268667239</v>
      </c>
      <c r="J55" s="2">
        <v>-0.46549829256884223</v>
      </c>
      <c r="K55" s="2">
        <v>-0.82470968801857225</v>
      </c>
      <c r="L55" s="2">
        <v>-0.22015442455355227</v>
      </c>
      <c r="N55">
        <f t="shared" si="6"/>
        <v>0.4798270671582901</v>
      </c>
      <c r="O55">
        <f t="shared" si="7"/>
        <v>-0.51075136226952833</v>
      </c>
      <c r="P55">
        <f t="shared" si="8"/>
        <v>1.9869814850448324</v>
      </c>
      <c r="Q55">
        <f t="shared" si="9"/>
        <v>9.3784272309435437E-3</v>
      </c>
      <c r="R55">
        <f t="shared" si="10"/>
        <v>0.99057842942781837</v>
      </c>
      <c r="S55">
        <f t="shared" si="11"/>
        <v>2.0278699870146335</v>
      </c>
      <c r="T55" t="s">
        <v>92</v>
      </c>
      <c r="W55" t="s">
        <v>85</v>
      </c>
      <c r="X55">
        <v>-0.2352592462136732</v>
      </c>
      <c r="Y55">
        <v>0.16025367141402835</v>
      </c>
    </row>
    <row r="56" spans="1:25" x14ac:dyDescent="0.2">
      <c r="A56" t="s">
        <v>93</v>
      </c>
      <c r="B56" s="1">
        <v>3.0036839084451836</v>
      </c>
      <c r="C56" s="1">
        <v>-0.92504336282393251</v>
      </c>
      <c r="D56" s="1">
        <v>1.4469880827004435</v>
      </c>
      <c r="E56" s="1">
        <v>-0.34478725144579858</v>
      </c>
      <c r="F56" s="1">
        <v>-1.006714830333753</v>
      </c>
      <c r="G56" s="1">
        <v>0.37140266164230301</v>
      </c>
      <c r="H56" s="2">
        <v>-1.0751855474014187</v>
      </c>
      <c r="I56" s="2">
        <v>-0.62683863632790848</v>
      </c>
      <c r="J56" s="2">
        <v>-0.15499827134767863</v>
      </c>
      <c r="K56" s="2">
        <v>5.5426575323764826E-3</v>
      </c>
      <c r="L56" s="2">
        <v>-0.49701192087955859</v>
      </c>
      <c r="N56">
        <f t="shared" si="6"/>
        <v>0.42425486803074103</v>
      </c>
      <c r="O56">
        <f t="shared" si="7"/>
        <v>-0.46969834368483754</v>
      </c>
      <c r="P56">
        <f t="shared" si="8"/>
        <v>1.8582610819482974</v>
      </c>
      <c r="Q56">
        <f t="shared" si="9"/>
        <v>0.22805305973230752</v>
      </c>
      <c r="R56">
        <f t="shared" si="10"/>
        <v>0.89395321171557862</v>
      </c>
      <c r="S56">
        <f t="shared" si="11"/>
        <v>0.64196409656076281</v>
      </c>
      <c r="T56" t="s">
        <v>93</v>
      </c>
      <c r="W56" t="s">
        <v>104</v>
      </c>
      <c r="X56">
        <v>0.16278286353530799</v>
      </c>
      <c r="Y56">
        <v>0.15678460599393942</v>
      </c>
    </row>
    <row r="57" spans="1:25" x14ac:dyDescent="0.2">
      <c r="A57" t="s">
        <v>94</v>
      </c>
      <c r="B57" s="1">
        <v>0.23610173321774297</v>
      </c>
      <c r="C57" s="1">
        <v>0.72539813389904695</v>
      </c>
      <c r="D57" s="1">
        <v>2.5906642098111972</v>
      </c>
      <c r="E57" s="1">
        <v>1.2869181857847671</v>
      </c>
      <c r="F57" s="1">
        <v>2.2054182545023382</v>
      </c>
      <c r="G57" s="1">
        <v>1.644259989896238</v>
      </c>
      <c r="H57" s="2">
        <v>1.4025772045583671</v>
      </c>
      <c r="I57" s="2">
        <v>1.5451128568470449</v>
      </c>
      <c r="J57" s="2">
        <v>1.2280029395582421</v>
      </c>
      <c r="K57" s="2">
        <v>1.5636851234532161</v>
      </c>
      <c r="L57" s="2">
        <v>1.4023555194287289</v>
      </c>
      <c r="N57">
        <f t="shared" si="6"/>
        <v>1.4481267511852218</v>
      </c>
      <c r="O57">
        <f t="shared" si="7"/>
        <v>1.4283467287691198</v>
      </c>
      <c r="P57">
        <f t="shared" si="8"/>
        <v>1.0138048862368365</v>
      </c>
      <c r="Q57">
        <f t="shared" si="9"/>
        <v>0.95901944043751186</v>
      </c>
      <c r="R57">
        <f t="shared" si="10"/>
        <v>1.9780022416102008E-2</v>
      </c>
      <c r="S57">
        <f t="shared" si="11"/>
        <v>1.8172589086726212E-2</v>
      </c>
      <c r="T57" t="s">
        <v>94</v>
      </c>
      <c r="W57" t="s">
        <v>90</v>
      </c>
      <c r="X57">
        <v>-0.17202887867640745</v>
      </c>
      <c r="Y57">
        <v>0.15672022907385849</v>
      </c>
    </row>
    <row r="58" spans="1:25" x14ac:dyDescent="0.2">
      <c r="A58" t="s">
        <v>95</v>
      </c>
      <c r="B58" s="1">
        <v>-1.6082899701473012</v>
      </c>
      <c r="C58" s="1">
        <v>-0.79007255859704029</v>
      </c>
      <c r="D58" s="1">
        <v>-0.55774123858096414</v>
      </c>
      <c r="E58" s="1">
        <v>-1.2060230632137943</v>
      </c>
      <c r="F58" s="1">
        <v>-0.46478951857767747</v>
      </c>
      <c r="G58" s="1">
        <v>-0.32527293077753033</v>
      </c>
      <c r="H58" s="2">
        <v>-0.77497632108261749</v>
      </c>
      <c r="I58" s="2">
        <v>-5.6031248394378452E-2</v>
      </c>
      <c r="J58" s="2">
        <v>-1.0072705368439374</v>
      </c>
      <c r="K58" s="2">
        <v>-0.13303313643666148</v>
      </c>
      <c r="L58" s="2">
        <v>-0.34945234665489244</v>
      </c>
      <c r="N58">
        <f t="shared" si="6"/>
        <v>-0.82536487998238461</v>
      </c>
      <c r="O58">
        <f t="shared" si="7"/>
        <v>-0.46415271788249746</v>
      </c>
      <c r="P58">
        <f t="shared" si="8"/>
        <v>0.77851019527518805</v>
      </c>
      <c r="Q58">
        <f t="shared" si="9"/>
        <v>0.21810437250175718</v>
      </c>
      <c r="R58">
        <f t="shared" si="10"/>
        <v>-0.36121216209988705</v>
      </c>
      <c r="S58">
        <f t="shared" si="11"/>
        <v>0.66133562770717658</v>
      </c>
      <c r="T58" t="s">
        <v>95</v>
      </c>
      <c r="W58" t="s">
        <v>73</v>
      </c>
      <c r="X58">
        <v>0.13940509789555547</v>
      </c>
      <c r="Y58">
        <v>0.13588499753192079</v>
      </c>
    </row>
    <row r="59" spans="1:25" x14ac:dyDescent="0.2">
      <c r="A59" t="s">
        <v>96</v>
      </c>
      <c r="B59" s="1">
        <v>1.1275714448737022</v>
      </c>
      <c r="C59" s="1" t="s">
        <v>67</v>
      </c>
      <c r="D59" s="1">
        <v>2.1928759764058219</v>
      </c>
      <c r="E59" s="1">
        <v>0.61390047022598204</v>
      </c>
      <c r="F59" s="1" t="s">
        <v>67</v>
      </c>
      <c r="G59" s="1">
        <v>-9.0253903554334158E-2</v>
      </c>
      <c r="H59" s="2">
        <v>1.6010427401349596</v>
      </c>
      <c r="I59" s="2">
        <v>1.6714498873438297</v>
      </c>
      <c r="J59" s="2">
        <v>0.35954474470636366</v>
      </c>
      <c r="K59" s="2">
        <v>0.14631760415482625</v>
      </c>
      <c r="L59" s="2">
        <v>1.6384404808492097</v>
      </c>
      <c r="N59">
        <f t="shared" si="6"/>
        <v>0.96102349698779288</v>
      </c>
      <c r="O59">
        <f t="shared" si="7"/>
        <v>1.0833590914378379</v>
      </c>
      <c r="P59">
        <f t="shared" si="8"/>
        <v>0.91869915418044024</v>
      </c>
      <c r="Q59">
        <f t="shared" si="9"/>
        <v>0.84272758487268884</v>
      </c>
      <c r="R59">
        <f t="shared" si="10"/>
        <v>-0.12233559445004501</v>
      </c>
      <c r="S59">
        <f t="shared" si="11"/>
        <v>7.4312790151476252E-2</v>
      </c>
      <c r="T59" t="s">
        <v>96</v>
      </c>
      <c r="W59" t="s">
        <v>108</v>
      </c>
      <c r="X59">
        <v>0.12284447559623289</v>
      </c>
      <c r="Y59">
        <v>0.12330276651736427</v>
      </c>
    </row>
    <row r="60" spans="1:25" x14ac:dyDescent="0.2">
      <c r="A60" t="s">
        <v>97</v>
      </c>
      <c r="B60" s="1">
        <v>0.65386724827941212</v>
      </c>
      <c r="C60" s="1">
        <v>6.1184216761814021</v>
      </c>
      <c r="D60" s="1">
        <v>1.4559971963702023</v>
      </c>
      <c r="E60" s="1">
        <v>0.52843270231599226</v>
      </c>
      <c r="F60" s="1">
        <v>1.3775462623351702</v>
      </c>
      <c r="G60" s="1">
        <v>5.27248418514879</v>
      </c>
      <c r="H60" s="2">
        <v>3.2538319912154723</v>
      </c>
      <c r="I60" s="2">
        <v>2.8462876404959117</v>
      </c>
      <c r="J60" s="2">
        <v>2.6178573757244719</v>
      </c>
      <c r="K60" s="2">
        <v>1.8193997532435997</v>
      </c>
      <c r="L60" s="2">
        <v>3.4871718948428621</v>
      </c>
      <c r="N60">
        <f t="shared" si="6"/>
        <v>2.5677915451051621</v>
      </c>
      <c r="O60">
        <f t="shared" si="7"/>
        <v>2.8049097311044635</v>
      </c>
      <c r="P60">
        <f t="shared" si="8"/>
        <v>0.84843839453771941</v>
      </c>
      <c r="Q60">
        <f t="shared" si="9"/>
        <v>0.82864775223369025</v>
      </c>
      <c r="R60">
        <f t="shared" si="10"/>
        <v>-0.23711818599930126</v>
      </c>
      <c r="S60">
        <f t="shared" si="11"/>
        <v>8.1630043359675108E-2</v>
      </c>
      <c r="T60" t="s">
        <v>97</v>
      </c>
      <c r="W60" t="s">
        <v>111</v>
      </c>
      <c r="X60">
        <v>-0.18850814602276064</v>
      </c>
      <c r="Y60">
        <v>9.917888896458818E-2</v>
      </c>
    </row>
    <row r="61" spans="1:25" x14ac:dyDescent="0.2">
      <c r="A61" t="s">
        <v>98</v>
      </c>
      <c r="B61" s="1">
        <v>-0.42646681953660581</v>
      </c>
      <c r="C61" s="1">
        <v>0.63377162021648914</v>
      </c>
      <c r="D61" s="1">
        <v>-1.2951440334856588</v>
      </c>
      <c r="E61" s="1">
        <v>-0.91518462663583888</v>
      </c>
      <c r="F61" s="1">
        <v>0.99391290595403459</v>
      </c>
      <c r="G61" s="1">
        <v>-0.80164657091845526</v>
      </c>
      <c r="H61" s="2">
        <v>0.41051598706472087</v>
      </c>
      <c r="I61" s="2">
        <v>0.79115432173962286</v>
      </c>
      <c r="J61" s="2">
        <v>0.23970487762697984</v>
      </c>
      <c r="K61" s="2">
        <v>0.98729706125581296</v>
      </c>
      <c r="L61" s="2">
        <v>0.33620854157819086</v>
      </c>
      <c r="N61">
        <f t="shared" si="6"/>
        <v>-0.30179292073433911</v>
      </c>
      <c r="O61">
        <f t="shared" si="7"/>
        <v>0.55297615785306542</v>
      </c>
      <c r="P61">
        <f t="shared" si="8"/>
        <v>0.55295382676348304</v>
      </c>
      <c r="Q61">
        <f t="shared" si="9"/>
        <v>7.3533492027312936E-2</v>
      </c>
      <c r="R61">
        <f t="shared" si="10"/>
        <v>-0.8547690785874047</v>
      </c>
      <c r="S61">
        <f t="shared" si="11"/>
        <v>1.1335148093555818</v>
      </c>
      <c r="T61" t="s">
        <v>98</v>
      </c>
      <c r="W61" t="s">
        <v>61</v>
      </c>
      <c r="X61">
        <v>-0.23614360113693306</v>
      </c>
      <c r="Y61">
        <v>8.8855737334905316E-2</v>
      </c>
    </row>
    <row r="62" spans="1:25" x14ac:dyDescent="0.2">
      <c r="A62" t="s">
        <v>99</v>
      </c>
      <c r="B62" s="1">
        <v>0.75193103618510082</v>
      </c>
      <c r="C62" s="1">
        <v>4.9947929372551965</v>
      </c>
      <c r="D62" s="1">
        <v>1.2438726035161158</v>
      </c>
      <c r="E62" s="1">
        <v>1.2650049931040459</v>
      </c>
      <c r="F62" s="1">
        <v>1.7508488502697963</v>
      </c>
      <c r="G62" s="1">
        <v>1.0208069180381161</v>
      </c>
      <c r="H62" s="2">
        <v>2.9985426798016235</v>
      </c>
      <c r="I62" s="2">
        <v>4.1470273366883035</v>
      </c>
      <c r="J62" s="2">
        <v>0.29996668722763448</v>
      </c>
      <c r="K62" s="2">
        <v>0.55665311768030645</v>
      </c>
      <c r="L62" s="2">
        <v>2.0530035767704433</v>
      </c>
      <c r="N62">
        <f t="shared" si="6"/>
        <v>1.8378762230613954</v>
      </c>
      <c r="O62">
        <f t="shared" si="7"/>
        <v>2.0110386796336623</v>
      </c>
      <c r="P62">
        <f t="shared" si="8"/>
        <v>0.88689642939020763</v>
      </c>
      <c r="Q62">
        <f t="shared" si="9"/>
        <v>0.86283295141516492</v>
      </c>
      <c r="R62">
        <f t="shared" si="10"/>
        <v>-0.17316245657226692</v>
      </c>
      <c r="S62">
        <f t="shared" si="11"/>
        <v>6.4073277634729281E-2</v>
      </c>
      <c r="T62" t="s">
        <v>99</v>
      </c>
      <c r="W62" t="s">
        <v>97</v>
      </c>
      <c r="X62">
        <v>-0.23711818599930126</v>
      </c>
      <c r="Y62">
        <v>8.1630043359675108E-2</v>
      </c>
    </row>
    <row r="63" spans="1:25" x14ac:dyDescent="0.2">
      <c r="A63" t="s">
        <v>100</v>
      </c>
      <c r="B63" s="1">
        <v>0.66856064526516978</v>
      </c>
      <c r="C63" s="1">
        <v>2.4295960627691695</v>
      </c>
      <c r="D63" s="1">
        <v>2.4080515125217694</v>
      </c>
      <c r="E63" s="1">
        <v>1.2428283365782298</v>
      </c>
      <c r="F63" s="1">
        <v>2.1561207262503466</v>
      </c>
      <c r="G63" s="1">
        <v>1.5505300286118562</v>
      </c>
      <c r="H63" s="2">
        <v>1.9471395705434005</v>
      </c>
      <c r="I63" s="2">
        <v>2.3091373058440303</v>
      </c>
      <c r="J63" s="2">
        <v>0.74666361210197552</v>
      </c>
      <c r="K63" s="2">
        <v>0.60945124208621249</v>
      </c>
      <c r="L63" s="2">
        <v>2.0393038254262206</v>
      </c>
      <c r="N63">
        <f t="shared" si="6"/>
        <v>1.7426145519994236</v>
      </c>
      <c r="O63">
        <f t="shared" si="7"/>
        <v>1.5303391112003677</v>
      </c>
      <c r="P63">
        <f t="shared" si="8"/>
        <v>1.1585139697425857</v>
      </c>
      <c r="Q63">
        <f t="shared" si="9"/>
        <v>0.65467293573319352</v>
      </c>
      <c r="R63">
        <f t="shared" si="10"/>
        <v>0.21227544079905597</v>
      </c>
      <c r="S63">
        <f t="shared" si="11"/>
        <v>0.18397561249892985</v>
      </c>
      <c r="T63" t="s">
        <v>100</v>
      </c>
      <c r="W63" t="s">
        <v>82</v>
      </c>
      <c r="X63">
        <v>-0.16089093073667185</v>
      </c>
      <c r="Y63">
        <v>8.0232257341361315E-2</v>
      </c>
    </row>
    <row r="64" spans="1:25" x14ac:dyDescent="0.2">
      <c r="A64" t="s">
        <v>101</v>
      </c>
      <c r="B64" s="1">
        <v>0.14960626429181073</v>
      </c>
      <c r="C64" s="1">
        <v>-0.28361834128276431</v>
      </c>
      <c r="D64" s="1">
        <v>-1.3416379991120762</v>
      </c>
      <c r="E64" s="1">
        <v>-1.4758745903395063</v>
      </c>
      <c r="F64" s="1">
        <v>0.26337987424171294</v>
      </c>
      <c r="G64" s="1">
        <v>-1.3587334587719739</v>
      </c>
      <c r="H64" s="2">
        <v>-0.18282746741128575</v>
      </c>
      <c r="I64" s="2">
        <v>0.24158011145402922</v>
      </c>
      <c r="J64" s="2">
        <v>0.46720631743585617</v>
      </c>
      <c r="K64" s="2">
        <v>0.24708847940503723</v>
      </c>
      <c r="L64" s="2">
        <v>0.41026500993704618</v>
      </c>
      <c r="N64">
        <f t="shared" si="6"/>
        <v>-0.67447970849546612</v>
      </c>
      <c r="O64">
        <f t="shared" si="7"/>
        <v>0.2366624901641366</v>
      </c>
      <c r="P64">
        <f t="shared" si="8"/>
        <v>0.53176392076533374</v>
      </c>
      <c r="Q64">
        <f t="shared" si="9"/>
        <v>3.920390019994055E-2</v>
      </c>
      <c r="R64">
        <f t="shared" si="10"/>
        <v>-0.91114219865960289</v>
      </c>
      <c r="S64">
        <f t="shared" si="11"/>
        <v>1.406670725044489</v>
      </c>
      <c r="T64" t="s">
        <v>101</v>
      </c>
      <c r="W64" t="s">
        <v>72</v>
      </c>
      <c r="X64">
        <v>-0.16501785028312602</v>
      </c>
      <c r="Y64">
        <v>7.7153265096061241E-2</v>
      </c>
    </row>
    <row r="65" spans="1:25" x14ac:dyDescent="0.2">
      <c r="A65" t="s">
        <v>102</v>
      </c>
      <c r="B65" s="1">
        <v>8.8031640164261793E-2</v>
      </c>
      <c r="C65" s="1">
        <v>2.9979546643519983</v>
      </c>
      <c r="D65" s="1">
        <v>0.6646753581413587</v>
      </c>
      <c r="E65" s="1">
        <v>1.4844828506571761E-2</v>
      </c>
      <c r="F65" s="1">
        <v>1.6699515391314308</v>
      </c>
      <c r="G65" s="1">
        <v>0.23572063024707368</v>
      </c>
      <c r="H65" s="2">
        <v>-0.23883382439805834</v>
      </c>
      <c r="I65" s="2">
        <v>1.0674729105007876</v>
      </c>
      <c r="J65" s="2">
        <v>1.0787883189660046</v>
      </c>
      <c r="K65" s="2">
        <v>-0.60898992163729426</v>
      </c>
      <c r="L65" s="2">
        <v>1.3344473345957086</v>
      </c>
      <c r="N65">
        <f t="shared" si="6"/>
        <v>0.94519644342378262</v>
      </c>
      <c r="O65">
        <f t="shared" si="7"/>
        <v>0.5265769636054296</v>
      </c>
      <c r="P65">
        <f t="shared" si="8"/>
        <v>1.3366478993477211</v>
      </c>
      <c r="Q65">
        <f t="shared" si="9"/>
        <v>0.51800639571785823</v>
      </c>
      <c r="R65">
        <f t="shared" si="10"/>
        <v>0.41861947981835312</v>
      </c>
      <c r="S65">
        <f t="shared" si="11"/>
        <v>0.28566487807749635</v>
      </c>
      <c r="T65" t="s">
        <v>102</v>
      </c>
      <c r="W65" t="s">
        <v>115</v>
      </c>
      <c r="X65">
        <v>-5.8790637155163104E-2</v>
      </c>
      <c r="Y65">
        <v>7.5271930547067378E-2</v>
      </c>
    </row>
    <row r="66" spans="1:25" x14ac:dyDescent="0.2">
      <c r="A66" t="s">
        <v>103</v>
      </c>
      <c r="B66" s="1">
        <v>-0.64310363586000219</v>
      </c>
      <c r="C66" s="1">
        <v>-0.78566274463867392</v>
      </c>
      <c r="D66" s="1">
        <v>-1.3705807089290873</v>
      </c>
      <c r="E66" s="1">
        <v>-1.5203819547385602</v>
      </c>
      <c r="F66" s="1">
        <v>-1.2007360060317027</v>
      </c>
      <c r="G66" s="1">
        <v>-2.5849259717390827</v>
      </c>
      <c r="H66" s="2">
        <v>-1.4703216176509846</v>
      </c>
      <c r="I66" s="2">
        <v>-1.6980908126345746</v>
      </c>
      <c r="J66" s="2">
        <v>0.16087322741504928</v>
      </c>
      <c r="K66" s="2">
        <v>-0.94721140713377472</v>
      </c>
      <c r="L66" s="2">
        <v>-0.57171522805911468</v>
      </c>
      <c r="N66">
        <f t="shared" si="6"/>
        <v>-1.3508985036561849</v>
      </c>
      <c r="O66">
        <f t="shared" si="7"/>
        <v>-0.90529316761267997</v>
      </c>
      <c r="P66">
        <f t="shared" si="8"/>
        <v>0.73427615928409651</v>
      </c>
      <c r="Q66">
        <f t="shared" si="9"/>
        <v>0.33488480566328499</v>
      </c>
      <c r="R66">
        <f t="shared" si="10"/>
        <v>-0.44560533604350494</v>
      </c>
      <c r="S66">
        <f t="shared" si="11"/>
        <v>0.4751045567488445</v>
      </c>
      <c r="T66" t="s">
        <v>103</v>
      </c>
      <c r="W66" t="s">
        <v>96</v>
      </c>
      <c r="X66">
        <v>-0.12233559445004501</v>
      </c>
      <c r="Y66">
        <v>7.4312790151476252E-2</v>
      </c>
    </row>
    <row r="67" spans="1:25" x14ac:dyDescent="0.2">
      <c r="A67" t="s">
        <v>104</v>
      </c>
      <c r="B67" s="1">
        <v>0.137087144192449</v>
      </c>
      <c r="C67" s="1">
        <v>-0.50678075415884605</v>
      </c>
      <c r="D67" s="1">
        <v>1.0275156796334382</v>
      </c>
      <c r="E67" s="1">
        <v>-0.37671583536329301</v>
      </c>
      <c r="F67" s="1">
        <v>1.4151447696081942</v>
      </c>
      <c r="G67" s="1">
        <v>-0.14496918907570655</v>
      </c>
      <c r="H67" s="2">
        <v>-0.37006035997227282</v>
      </c>
      <c r="I67" s="2">
        <v>-0.26737590023163282</v>
      </c>
      <c r="J67" s="2">
        <v>-5.782098662665569E-2</v>
      </c>
      <c r="K67" s="2">
        <v>1.0073945618849882</v>
      </c>
      <c r="L67" s="2">
        <v>0.16668321296589628</v>
      </c>
      <c r="N67">
        <f t="shared" si="6"/>
        <v>0.25854696913937264</v>
      </c>
      <c r="O67">
        <f t="shared" si="7"/>
        <v>9.5764105604064634E-2</v>
      </c>
      <c r="P67">
        <f t="shared" si="8"/>
        <v>1.1194443911661058</v>
      </c>
      <c r="Q67">
        <f t="shared" si="9"/>
        <v>0.69697210079775251</v>
      </c>
      <c r="R67">
        <f t="shared" si="10"/>
        <v>0.16278286353530799</v>
      </c>
      <c r="S67">
        <f t="shared" si="11"/>
        <v>0.15678460599393942</v>
      </c>
      <c r="T67" t="s">
        <v>104</v>
      </c>
      <c r="W67" t="s">
        <v>53</v>
      </c>
      <c r="X67">
        <v>0.14931756000378041</v>
      </c>
      <c r="Y67">
        <v>6.6870098474253944E-2</v>
      </c>
    </row>
    <row r="68" spans="1:25" x14ac:dyDescent="0.2">
      <c r="A68" t="s">
        <v>105</v>
      </c>
      <c r="B68" s="1">
        <v>1.196861010168929</v>
      </c>
      <c r="C68" s="1">
        <v>0.78942502760788891</v>
      </c>
      <c r="D68" s="1">
        <v>4.4694894372825988</v>
      </c>
      <c r="E68" s="1">
        <v>4.6136131544623282</v>
      </c>
      <c r="F68" s="1">
        <v>6.5558889007954591</v>
      </c>
      <c r="G68" s="1">
        <v>2.9794158889463684</v>
      </c>
      <c r="H68" s="2">
        <v>2.3609934797359107</v>
      </c>
      <c r="I68" s="2">
        <v>2.7005656413131227</v>
      </c>
      <c r="J68" s="2">
        <v>2.7780660735587404</v>
      </c>
      <c r="K68" s="2">
        <v>3.7140353004086224</v>
      </c>
      <c r="L68" s="2">
        <v>1.1928970780249726</v>
      </c>
      <c r="N68">
        <f t="shared" si="6"/>
        <v>3.4341155698772625</v>
      </c>
      <c r="O68">
        <f t="shared" si="7"/>
        <v>2.5493115146082737</v>
      </c>
      <c r="P68">
        <f t="shared" si="8"/>
        <v>1.84651381362072</v>
      </c>
      <c r="Q68">
        <f t="shared" si="9"/>
        <v>0.40142170884264838</v>
      </c>
      <c r="R68">
        <f t="shared" si="10"/>
        <v>0.88480405526898886</v>
      </c>
      <c r="S68">
        <f t="shared" si="11"/>
        <v>0.39639914461476972</v>
      </c>
      <c r="T68" t="s">
        <v>105</v>
      </c>
      <c r="W68" t="s">
        <v>99</v>
      </c>
      <c r="X68">
        <v>-0.17316245657226692</v>
      </c>
      <c r="Y68">
        <v>6.4073277634729281E-2</v>
      </c>
    </row>
    <row r="69" spans="1:25" x14ac:dyDescent="0.2">
      <c r="A69" t="s">
        <v>106</v>
      </c>
      <c r="B69" s="1">
        <v>2.3539913003599731</v>
      </c>
      <c r="C69" s="1">
        <v>-0.12035595775033267</v>
      </c>
      <c r="D69" s="1">
        <v>-1.8883964288322874</v>
      </c>
      <c r="E69" s="1" t="s">
        <v>67</v>
      </c>
      <c r="F69" s="1">
        <v>-0.68298604346102743</v>
      </c>
      <c r="G69" s="1">
        <v>1.8811196212198447</v>
      </c>
      <c r="H69" s="2">
        <v>-0.38107543382088438</v>
      </c>
      <c r="I69" s="2" t="s">
        <v>67</v>
      </c>
      <c r="J69" s="2" t="s">
        <v>67</v>
      </c>
      <c r="K69" s="2">
        <v>-2.2146749256194358</v>
      </c>
      <c r="L69" s="2">
        <v>-1.3520797720964353</v>
      </c>
      <c r="N69">
        <f t="shared" si="6"/>
        <v>0.30867449830723404</v>
      </c>
      <c r="O69">
        <f t="shared" si="7"/>
        <v>-1.3159433771789184</v>
      </c>
      <c r="P69">
        <f t="shared" si="8"/>
        <v>3.0836047927739618</v>
      </c>
      <c r="Q69">
        <f t="shared" si="9"/>
        <v>0.14014541045106885</v>
      </c>
      <c r="R69">
        <f t="shared" si="10"/>
        <v>1.6246178754861524</v>
      </c>
      <c r="S69">
        <f t="shared" si="11"/>
        <v>0.85342112015422844</v>
      </c>
      <c r="T69" t="s">
        <v>106</v>
      </c>
      <c r="W69" t="s">
        <v>51</v>
      </c>
      <c r="X69">
        <v>5.3811177157779298E-2</v>
      </c>
      <c r="Y69">
        <v>4.6597902503286714E-2</v>
      </c>
    </row>
    <row r="70" spans="1:25" x14ac:dyDescent="0.2">
      <c r="A70" t="s">
        <v>107</v>
      </c>
      <c r="B70" s="1">
        <v>1.277172673620901</v>
      </c>
      <c r="C70" s="1">
        <v>4.5649102440282903</v>
      </c>
      <c r="D70" s="1">
        <v>4.4076163325027711</v>
      </c>
      <c r="E70" s="1">
        <v>5.4636896955498813</v>
      </c>
      <c r="F70" s="1">
        <v>5.976671612478281</v>
      </c>
      <c r="G70" s="1">
        <v>5.3605921654499511</v>
      </c>
      <c r="H70" s="2">
        <v>5.162412585959558</v>
      </c>
      <c r="I70" s="2">
        <v>6.3880004994937787</v>
      </c>
      <c r="J70" s="2">
        <v>1.6477609353446807</v>
      </c>
      <c r="K70" s="2">
        <v>1.7088551155526666</v>
      </c>
      <c r="L70" s="2">
        <v>3.1832639818234587</v>
      </c>
      <c r="N70">
        <f t="shared" si="6"/>
        <v>4.5084421206050127</v>
      </c>
      <c r="O70">
        <f t="shared" si="7"/>
        <v>3.6180586236348282</v>
      </c>
      <c r="P70">
        <f t="shared" si="8"/>
        <v>1.8536688002468857</v>
      </c>
      <c r="Q70">
        <f t="shared" si="9"/>
        <v>0.46858388714010868</v>
      </c>
      <c r="R70">
        <f t="shared" si="10"/>
        <v>0.89038349697018437</v>
      </c>
      <c r="S70">
        <f t="shared" si="11"/>
        <v>0.3292126492568751</v>
      </c>
      <c r="T70" t="s">
        <v>107</v>
      </c>
      <c r="W70" t="s">
        <v>116</v>
      </c>
      <c r="X70">
        <v>9.0042779532771552E-2</v>
      </c>
      <c r="Y70">
        <v>4.6245123496015381E-2</v>
      </c>
    </row>
    <row r="71" spans="1:25" x14ac:dyDescent="0.2">
      <c r="A71" t="s">
        <v>108</v>
      </c>
      <c r="B71" s="1">
        <v>-6.0382863527725178E-2</v>
      </c>
      <c r="C71" s="1">
        <v>0.10748250864352282</v>
      </c>
      <c r="D71" s="1">
        <v>-1.0278765528072022</v>
      </c>
      <c r="E71" s="1">
        <v>-0.70333988875685116</v>
      </c>
      <c r="F71" s="1">
        <v>-1.3909080762665891</v>
      </c>
      <c r="G71" s="1">
        <v>-0.41856816707432898</v>
      </c>
      <c r="H71" s="2">
        <v>-1.3656333037589081</v>
      </c>
      <c r="I71" s="2">
        <v>-0.72334734594572614</v>
      </c>
      <c r="J71" s="2">
        <v>-0.98851661644124011</v>
      </c>
      <c r="K71" s="2">
        <v>0.39552791570019186</v>
      </c>
      <c r="L71" s="2">
        <v>-0.84358056069312715</v>
      </c>
      <c r="N71">
        <f t="shared" si="6"/>
        <v>-0.58226550663152898</v>
      </c>
      <c r="O71">
        <f t="shared" si="7"/>
        <v>-0.705109982227762</v>
      </c>
      <c r="P71">
        <f t="shared" si="8"/>
        <v>1.0888796263674569</v>
      </c>
      <c r="Q71">
        <f t="shared" si="9"/>
        <v>0.75283054819225526</v>
      </c>
      <c r="R71">
        <f t="shared" si="10"/>
        <v>0.12284447559623289</v>
      </c>
      <c r="S71">
        <f t="shared" si="11"/>
        <v>0.12330276651736427</v>
      </c>
      <c r="T71" t="s">
        <v>108</v>
      </c>
      <c r="W71" t="s">
        <v>121</v>
      </c>
      <c r="X71">
        <v>-9.878328237617226E-2</v>
      </c>
      <c r="Y71">
        <v>4.0175720955547126E-2</v>
      </c>
    </row>
    <row r="72" spans="1:25" x14ac:dyDescent="0.2">
      <c r="A72" t="s">
        <v>109</v>
      </c>
      <c r="B72" s="1">
        <v>8.8749733922007912E-2</v>
      </c>
      <c r="C72" s="1">
        <v>-1.4652839641356201</v>
      </c>
      <c r="D72" s="1">
        <v>-0.3439821735806215</v>
      </c>
      <c r="E72" s="1">
        <v>1.6879026716867198</v>
      </c>
      <c r="F72" s="1">
        <v>0.20098087548998878</v>
      </c>
      <c r="G72" s="1">
        <v>0.70707583003098284</v>
      </c>
      <c r="H72" s="2">
        <v>-0.80926978359617507</v>
      </c>
      <c r="I72" s="2">
        <v>-0.29474105941313711</v>
      </c>
      <c r="J72" s="2">
        <v>1.5127668379132058</v>
      </c>
      <c r="K72" s="2">
        <v>-1.2398193768707128E-2</v>
      </c>
      <c r="L72" s="2">
        <v>-1.0560868873914442</v>
      </c>
      <c r="N72">
        <f t="shared" si="6"/>
        <v>0.14590716223557632</v>
      </c>
      <c r="O72">
        <f t="shared" si="7"/>
        <v>-0.13194581725125157</v>
      </c>
      <c r="P72">
        <f t="shared" si="8"/>
        <v>1.2123892619904451</v>
      </c>
      <c r="Q72">
        <f t="shared" si="9"/>
        <v>0.66612315410686107</v>
      </c>
      <c r="R72">
        <f t="shared" si="10"/>
        <v>0.27785297948682797</v>
      </c>
      <c r="S72">
        <f t="shared" si="11"/>
        <v>0.17644547022232493</v>
      </c>
      <c r="T72" t="s">
        <v>109</v>
      </c>
      <c r="W72" t="s">
        <v>75</v>
      </c>
      <c r="X72">
        <v>-5.0555559565694096E-2</v>
      </c>
      <c r="Y72">
        <v>3.5653038392482801E-2</v>
      </c>
    </row>
    <row r="73" spans="1:25" x14ac:dyDescent="0.2">
      <c r="A73" t="s">
        <v>110</v>
      </c>
      <c r="B73" s="1">
        <v>-1.1890840100638733</v>
      </c>
      <c r="C73" s="1">
        <v>-1.5421048502301933</v>
      </c>
      <c r="D73" s="1">
        <v>-0.87091153019206624</v>
      </c>
      <c r="E73" s="1">
        <v>-0.22496901254864185</v>
      </c>
      <c r="F73" s="1">
        <v>1.111695099175344</v>
      </c>
      <c r="G73" s="1">
        <v>1.1320169895782741</v>
      </c>
      <c r="H73" s="2">
        <v>-0.80437354470993427</v>
      </c>
      <c r="I73" s="2">
        <v>-0.95136550607578418</v>
      </c>
      <c r="J73" s="2">
        <v>-0.95738372983231423</v>
      </c>
      <c r="K73" s="2">
        <v>-0.23791071938777231</v>
      </c>
      <c r="L73" s="2">
        <v>-0.38631787442351428</v>
      </c>
      <c r="N73">
        <f t="shared" si="6"/>
        <v>-0.26389288571352609</v>
      </c>
      <c r="O73">
        <f t="shared" si="7"/>
        <v>-0.66747027488586386</v>
      </c>
      <c r="P73">
        <f t="shared" si="8"/>
        <v>1.3227838980729945</v>
      </c>
      <c r="Q73">
        <f t="shared" si="9"/>
        <v>0.44676095905709512</v>
      </c>
      <c r="R73">
        <f t="shared" si="10"/>
        <v>0.40357738917233771</v>
      </c>
      <c r="S73">
        <f t="shared" si="11"/>
        <v>0.34992478543754363</v>
      </c>
      <c r="T73" t="s">
        <v>110</v>
      </c>
      <c r="W73" t="s">
        <v>52</v>
      </c>
      <c r="X73">
        <v>5.3587165510056732E-2</v>
      </c>
      <c r="Y73">
        <v>3.0859066122999153E-2</v>
      </c>
    </row>
    <row r="74" spans="1:25" x14ac:dyDescent="0.2">
      <c r="A74" t="s">
        <v>111</v>
      </c>
      <c r="B74" s="1">
        <v>8.4590935473461526E-2</v>
      </c>
      <c r="C74" s="1">
        <v>1.5708760626920726</v>
      </c>
      <c r="D74" s="1">
        <v>-0.9453635155335024</v>
      </c>
      <c r="E74" s="1">
        <v>1.7463995780209525</v>
      </c>
      <c r="F74" s="1">
        <v>-1.6067696740804716</v>
      </c>
      <c r="G74" s="1">
        <v>1.7111875393274583</v>
      </c>
      <c r="H74" s="2">
        <v>0.76209724953233371</v>
      </c>
      <c r="I74" s="2">
        <v>1.8962828367558335</v>
      </c>
      <c r="J74" s="2">
        <v>-0.3399995559412663</v>
      </c>
      <c r="K74" s="2">
        <v>0.48727393474627567</v>
      </c>
      <c r="L74" s="2">
        <v>0.27098703660393475</v>
      </c>
      <c r="N74">
        <f t="shared" si="6"/>
        <v>0.42682015431666182</v>
      </c>
      <c r="O74">
        <f t="shared" si="7"/>
        <v>0.61532830033942232</v>
      </c>
      <c r="P74">
        <f t="shared" si="8"/>
        <v>0.87751266567531583</v>
      </c>
      <c r="Q74">
        <f t="shared" si="9"/>
        <v>0.79583147428936174</v>
      </c>
      <c r="R74">
        <f t="shared" si="10"/>
        <v>-0.18850814602276064</v>
      </c>
      <c r="S74">
        <f t="shared" si="11"/>
        <v>9.917888896458818E-2</v>
      </c>
      <c r="T74" t="s">
        <v>111</v>
      </c>
      <c r="W74" t="s">
        <v>87</v>
      </c>
      <c r="X74">
        <v>-4.7865186588547347E-2</v>
      </c>
      <c r="Y74">
        <v>2.4024457571560125E-2</v>
      </c>
    </row>
    <row r="75" spans="1:25" x14ac:dyDescent="0.2">
      <c r="A75" t="s">
        <v>112</v>
      </c>
      <c r="B75" s="1">
        <v>-0.43542916129944786</v>
      </c>
      <c r="C75" s="1">
        <v>-1.2717031900600468</v>
      </c>
      <c r="D75" s="1">
        <v>2.1818057399626629</v>
      </c>
      <c r="E75" s="1">
        <v>-0.24137440294824886</v>
      </c>
      <c r="F75" s="1">
        <v>-2.280321743022109</v>
      </c>
      <c r="G75" s="1">
        <v>-1.1407209807305789</v>
      </c>
      <c r="H75" s="2">
        <v>-0.62266665722567827</v>
      </c>
      <c r="I75" s="2">
        <v>-0.56521795643989881</v>
      </c>
      <c r="J75" s="2">
        <v>-1.1381939464668183</v>
      </c>
      <c r="K75" s="2">
        <v>-1.4486056796635371</v>
      </c>
      <c r="L75" s="2">
        <v>-1.1754007774162361</v>
      </c>
      <c r="N75">
        <f t="shared" si="6"/>
        <v>-0.53129062301629471</v>
      </c>
      <c r="O75">
        <f t="shared" si="7"/>
        <v>-0.99001700344243382</v>
      </c>
      <c r="P75">
        <f t="shared" si="8"/>
        <v>1.3743280176754238</v>
      </c>
      <c r="Q75">
        <f t="shared" si="9"/>
        <v>0.50187745289212449</v>
      </c>
      <c r="R75">
        <f t="shared" si="10"/>
        <v>0.45872638042613906</v>
      </c>
      <c r="S75">
        <f t="shared" si="11"/>
        <v>0.29940231478713447</v>
      </c>
      <c r="T75" t="s">
        <v>112</v>
      </c>
      <c r="W75" t="s">
        <v>68</v>
      </c>
      <c r="X75">
        <v>-3.4606694677516189E-2</v>
      </c>
      <c r="Y75">
        <v>2.1654760689520901E-2</v>
      </c>
    </row>
    <row r="76" spans="1:25" x14ac:dyDescent="0.2">
      <c r="A76" t="s">
        <v>113</v>
      </c>
      <c r="B76" s="1">
        <v>0.42446038844158729</v>
      </c>
      <c r="C76" s="1">
        <v>-0.97540497737995369</v>
      </c>
      <c r="D76" s="1">
        <v>0.46813751353105032</v>
      </c>
      <c r="E76" s="1">
        <v>-0.11905578254574969</v>
      </c>
      <c r="F76" s="1">
        <v>-1.2394453440948021</v>
      </c>
      <c r="G76" s="1">
        <v>-0.674520253768365</v>
      </c>
      <c r="H76" s="2">
        <v>5.1637485285543461E-2</v>
      </c>
      <c r="I76" s="2">
        <v>-0.81764261788913362</v>
      </c>
      <c r="J76" s="2">
        <v>-0.8453802163079065</v>
      </c>
      <c r="K76" s="2">
        <v>-1.1911320947607145</v>
      </c>
      <c r="L76" s="2">
        <v>-1.1013638269625095</v>
      </c>
      <c r="N76">
        <f t="shared" ref="N76:N89" si="12">AVERAGE(B76:G76)</f>
        <v>-0.35263807596937213</v>
      </c>
      <c r="O76">
        <f t="shared" ref="O76:O89" si="13">AVERAGE(H76:L76)</f>
        <v>-0.78077625412694407</v>
      </c>
      <c r="P76">
        <f t="shared" ref="P76:P89" si="14">2^(N76 - O76)</f>
        <v>1.3454960710046866</v>
      </c>
      <c r="Q76">
        <f t="shared" ref="Q76:Q89" si="15">_xlfn.T.TEST(B76:G76,H76:L76, 2, 3)</f>
        <v>0.27554822109631932</v>
      </c>
      <c r="R76">
        <f t="shared" ref="R76:R89" si="16">LOG(P76,2)</f>
        <v>0.42813817815757194</v>
      </c>
      <c r="S76">
        <f t="shared" ref="S76:S89" si="17">-LOG(Q76,10)</f>
        <v>0.55980238837847107</v>
      </c>
      <c r="T76" t="s">
        <v>113</v>
      </c>
      <c r="W76" t="s">
        <v>94</v>
      </c>
      <c r="X76">
        <v>1.9780022416102008E-2</v>
      </c>
      <c r="Y76">
        <v>1.8172589086726212E-2</v>
      </c>
    </row>
    <row r="77" spans="1:25" x14ac:dyDescent="0.2">
      <c r="A77" t="s">
        <v>114</v>
      </c>
      <c r="B77" s="1">
        <v>0.2250679103890712</v>
      </c>
      <c r="C77" s="1">
        <v>-1.4901579131410654</v>
      </c>
      <c r="D77" s="1">
        <v>-0.39489429862268821</v>
      </c>
      <c r="E77" s="1">
        <v>0.14122540517732207</v>
      </c>
      <c r="F77" s="1">
        <v>-0.82853431593327398</v>
      </c>
      <c r="G77" s="1">
        <v>-0.33640190398620096</v>
      </c>
      <c r="H77" s="2">
        <v>-0.56900673409489499</v>
      </c>
      <c r="I77" s="2">
        <v>-0.85034965015438801</v>
      </c>
      <c r="J77" s="2">
        <v>-1.074000733041468</v>
      </c>
      <c r="K77" s="2">
        <v>-1.1443949423292969</v>
      </c>
      <c r="L77" s="2">
        <v>-1.1665463503201718</v>
      </c>
      <c r="N77">
        <f t="shared" si="12"/>
        <v>-0.44728251935280589</v>
      </c>
      <c r="O77">
        <f t="shared" si="13"/>
        <v>-0.96085968198804395</v>
      </c>
      <c r="P77">
        <f t="shared" si="14"/>
        <v>1.4275855094292049</v>
      </c>
      <c r="Q77">
        <f t="shared" si="15"/>
        <v>0.11561233262701853</v>
      </c>
      <c r="R77">
        <f t="shared" si="16"/>
        <v>0.51357716263523823</v>
      </c>
      <c r="S77">
        <f t="shared" si="17"/>
        <v>0.93699583627722394</v>
      </c>
      <c r="T77" t="s">
        <v>114</v>
      </c>
      <c r="W77" t="s">
        <v>124</v>
      </c>
      <c r="X77">
        <v>-1.9561685949814587E-2</v>
      </c>
      <c r="Y77">
        <v>1.7531678811887354E-2</v>
      </c>
    </row>
    <row r="78" spans="1:25" x14ac:dyDescent="0.2">
      <c r="A78" t="s">
        <v>115</v>
      </c>
      <c r="B78" s="1">
        <v>0.26113643535713393</v>
      </c>
      <c r="C78" s="1">
        <v>-1.1820652094279338</v>
      </c>
      <c r="D78" s="1">
        <v>-0.95686701709600386</v>
      </c>
      <c r="E78" s="1">
        <v>-0.68953426126378992</v>
      </c>
      <c r="F78" s="1">
        <v>-1.3977061446722883</v>
      </c>
      <c r="G78" s="1">
        <v>-4.7074352096574346E-2</v>
      </c>
      <c r="H78" s="2">
        <v>-0.67558122269183085</v>
      </c>
      <c r="I78" s="2">
        <v>-0.51510977484977694</v>
      </c>
      <c r="J78" s="2">
        <v>-0.5550997810031788</v>
      </c>
      <c r="K78" s="2">
        <v>-0.39270234505985629</v>
      </c>
      <c r="L78" s="2">
        <v>-0.91097914828575388</v>
      </c>
      <c r="N78">
        <f t="shared" si="12"/>
        <v>-0.66868509153324274</v>
      </c>
      <c r="O78">
        <f t="shared" si="13"/>
        <v>-0.60989445437807943</v>
      </c>
      <c r="P78">
        <f t="shared" si="14"/>
        <v>0.96006857537666279</v>
      </c>
      <c r="Q78">
        <f t="shared" si="15"/>
        <v>0.84086847268085008</v>
      </c>
      <c r="R78">
        <f t="shared" si="16"/>
        <v>-5.8790637155163104E-2</v>
      </c>
      <c r="S78">
        <f t="shared" si="17"/>
        <v>7.5271930547067378E-2</v>
      </c>
      <c r="T78" t="s">
        <v>115</v>
      </c>
      <c r="W78" t="s">
        <v>58</v>
      </c>
      <c r="X78">
        <v>-2.999176688555449E-2</v>
      </c>
      <c r="Y78">
        <v>1.2366072436306347E-2</v>
      </c>
    </row>
    <row r="79" spans="1:25" x14ac:dyDescent="0.2">
      <c r="A79" t="s">
        <v>116</v>
      </c>
      <c r="B79" s="1">
        <v>-6.7159797528703963E-2</v>
      </c>
      <c r="C79" s="1">
        <v>-0.44588194979596085</v>
      </c>
      <c r="D79" s="1">
        <v>3.2062728730740528</v>
      </c>
      <c r="E79" s="1">
        <v>7.6054415904053124E-2</v>
      </c>
      <c r="F79" s="1">
        <v>-0.82118893953714978</v>
      </c>
      <c r="G79" s="1">
        <v>0.2242756175847162</v>
      </c>
      <c r="H79" s="2">
        <v>0.60556027412560176</v>
      </c>
      <c r="I79" s="2">
        <v>1.4323044873947519</v>
      </c>
      <c r="J79" s="2">
        <v>-0.34716668013306423</v>
      </c>
      <c r="K79" s="2">
        <v>-0.53027443489128867</v>
      </c>
      <c r="L79" s="2">
        <v>0.19967263892431475</v>
      </c>
      <c r="N79">
        <f t="shared" si="12"/>
        <v>0.36206203661683461</v>
      </c>
      <c r="O79">
        <f t="shared" si="13"/>
        <v>0.27201925708406316</v>
      </c>
      <c r="P79">
        <f t="shared" si="14"/>
        <v>1.0644017441714675</v>
      </c>
      <c r="Q79">
        <f t="shared" si="15"/>
        <v>0.89899003241516362</v>
      </c>
      <c r="R79">
        <f t="shared" si="16"/>
        <v>9.0042779532771552E-2</v>
      </c>
      <c r="S79">
        <f t="shared" si="17"/>
        <v>4.6245123496015381E-2</v>
      </c>
      <c r="T79" t="s">
        <v>116</v>
      </c>
      <c r="W79" t="s">
        <v>70</v>
      </c>
      <c r="X79">
        <v>2.8247686858239631E-4</v>
      </c>
      <c r="Y79">
        <v>1.381893510729253E-4</v>
      </c>
    </row>
    <row r="80" spans="1:25" x14ac:dyDescent="0.2">
      <c r="A80" t="s">
        <v>117</v>
      </c>
      <c r="B80" s="1">
        <v>0.88549802224228658</v>
      </c>
      <c r="C80" s="1">
        <v>0.36118913524856966</v>
      </c>
      <c r="D80" s="1">
        <v>4.5222239764512162</v>
      </c>
      <c r="E80" s="1">
        <v>1.4282133378440867</v>
      </c>
      <c r="F80" s="1">
        <v>-0.85152680365966571</v>
      </c>
      <c r="G80" s="1">
        <v>0.50891386795258609</v>
      </c>
      <c r="H80" s="2">
        <v>1.0658297788515099</v>
      </c>
      <c r="I80" s="2">
        <v>1.5643183269216099</v>
      </c>
      <c r="J80" s="2">
        <v>-9.1643202238131105E-2</v>
      </c>
      <c r="K80" s="2">
        <v>-0.3789114572795641</v>
      </c>
      <c r="L80" s="2">
        <v>-5.5314401045416128E-2</v>
      </c>
      <c r="N80">
        <f t="shared" si="12"/>
        <v>1.1424185893465133</v>
      </c>
      <c r="O80">
        <f t="shared" si="13"/>
        <v>0.42085580904200171</v>
      </c>
      <c r="P80">
        <f t="shared" si="14"/>
        <v>1.6489672894207996</v>
      </c>
      <c r="Q80">
        <f t="shared" si="15"/>
        <v>0.41411833285528421</v>
      </c>
      <c r="R80">
        <f t="shared" si="16"/>
        <v>0.7215627803045116</v>
      </c>
      <c r="S80">
        <f t="shared" si="17"/>
        <v>0.38287554302659865</v>
      </c>
      <c r="T80" t="s">
        <v>117</v>
      </c>
    </row>
    <row r="81" spans="1:20" x14ac:dyDescent="0.2">
      <c r="A81" t="s">
        <v>118</v>
      </c>
      <c r="B81" s="1">
        <v>1.0623962738978416</v>
      </c>
      <c r="C81" s="1">
        <v>0.60770406173361058</v>
      </c>
      <c r="D81" s="1">
        <v>0.2654571792058667</v>
      </c>
      <c r="E81" s="1">
        <v>0.23140063311932657</v>
      </c>
      <c r="F81" s="1" t="s">
        <v>67</v>
      </c>
      <c r="G81" s="1">
        <v>8.5699962894294879E-2</v>
      </c>
      <c r="H81" s="2">
        <v>1.1886559810056994</v>
      </c>
      <c r="I81" s="2">
        <v>0.52551222300974931</v>
      </c>
      <c r="J81" s="2">
        <v>-0.68239220670239176</v>
      </c>
      <c r="K81" s="2">
        <v>-0.14298637289199378</v>
      </c>
      <c r="L81" s="2">
        <v>-0.53904062256031571</v>
      </c>
      <c r="N81">
        <f t="shared" si="12"/>
        <v>0.45053162217018805</v>
      </c>
      <c r="O81">
        <f t="shared" si="13"/>
        <v>6.9949800372149484E-2</v>
      </c>
      <c r="P81">
        <f t="shared" si="14"/>
        <v>1.3018667770170937</v>
      </c>
      <c r="Q81">
        <f t="shared" si="15"/>
        <v>0.36847735157040279</v>
      </c>
      <c r="R81">
        <f t="shared" si="16"/>
        <v>0.38058182179803846</v>
      </c>
      <c r="S81">
        <f t="shared" si="17"/>
        <v>0.43358920085860353</v>
      </c>
      <c r="T81" t="s">
        <v>118</v>
      </c>
    </row>
    <row r="82" spans="1:20" x14ac:dyDescent="0.2">
      <c r="A82" t="s">
        <v>119</v>
      </c>
      <c r="B82" s="1">
        <v>-0.15246772892658753</v>
      </c>
      <c r="C82" s="1">
        <v>-0.96898523510213508</v>
      </c>
      <c r="D82" s="1">
        <v>4.902891869136089E-2</v>
      </c>
      <c r="E82" s="1">
        <v>0.67534400589756682</v>
      </c>
      <c r="F82" s="1">
        <v>-0.62363727512493805</v>
      </c>
      <c r="G82" s="1">
        <v>-2.2215992537954088E-2</v>
      </c>
      <c r="H82" s="2">
        <v>-7.6718778334859031E-2</v>
      </c>
      <c r="I82" s="2">
        <v>-2.5309599387832032E-2</v>
      </c>
      <c r="J82" s="2">
        <v>-1.5920593134128791</v>
      </c>
      <c r="K82" s="2">
        <v>2.6619670928248462E-2</v>
      </c>
      <c r="L82" s="2">
        <v>-1.365463494790049</v>
      </c>
      <c r="N82">
        <f t="shared" si="12"/>
        <v>-0.17382221785044782</v>
      </c>
      <c r="O82">
        <f t="shared" si="13"/>
        <v>-0.60658630299947414</v>
      </c>
      <c r="P82">
        <f t="shared" si="14"/>
        <v>1.3498172399466686</v>
      </c>
      <c r="Q82">
        <f t="shared" si="15"/>
        <v>0.34453878637145879</v>
      </c>
      <c r="R82">
        <f t="shared" si="16"/>
        <v>0.43276408514902642</v>
      </c>
      <c r="S82">
        <f t="shared" si="17"/>
        <v>0.46276188040681221</v>
      </c>
      <c r="T82" t="s">
        <v>119</v>
      </c>
    </row>
    <row r="83" spans="1:20" x14ac:dyDescent="0.2">
      <c r="A83" t="s">
        <v>120</v>
      </c>
      <c r="B83" s="1">
        <v>0.65555729192889245</v>
      </c>
      <c r="C83" s="1">
        <v>-0.56220145070576155</v>
      </c>
      <c r="D83" s="1">
        <v>1.0603189934592157</v>
      </c>
      <c r="E83" s="1">
        <v>0.23565589502531548</v>
      </c>
      <c r="F83" s="1">
        <v>1.027941900671272</v>
      </c>
      <c r="G83" s="1">
        <v>0.46835052618691397</v>
      </c>
      <c r="H83" s="2">
        <v>1.5376514944397299</v>
      </c>
      <c r="I83" s="2">
        <v>0.43780737072723241</v>
      </c>
      <c r="J83" s="2">
        <v>-0.57898163190903584</v>
      </c>
      <c r="K83" s="2">
        <v>-0.53463665830283191</v>
      </c>
      <c r="L83" s="2">
        <v>-4.7190789404407851E-2</v>
      </c>
      <c r="N83">
        <f t="shared" si="12"/>
        <v>0.48093719276097469</v>
      </c>
      <c r="O83">
        <f t="shared" si="13"/>
        <v>0.1629299571101373</v>
      </c>
      <c r="P83">
        <f t="shared" si="14"/>
        <v>1.246607446458226</v>
      </c>
      <c r="Q83">
        <f t="shared" si="15"/>
        <v>0.51299105235590892</v>
      </c>
      <c r="R83">
        <f t="shared" si="16"/>
        <v>0.31800723565083727</v>
      </c>
      <c r="S83">
        <f t="shared" si="17"/>
        <v>0.28989020983232372</v>
      </c>
      <c r="T83" t="s">
        <v>120</v>
      </c>
    </row>
    <row r="84" spans="1:20" x14ac:dyDescent="0.2">
      <c r="A84" t="s">
        <v>121</v>
      </c>
      <c r="B84" s="1">
        <v>1.4314725097871124</v>
      </c>
      <c r="C84" s="1">
        <v>4.1257714189461447E-2</v>
      </c>
      <c r="D84" s="1">
        <v>3.3495730646772826</v>
      </c>
      <c r="E84" s="1">
        <v>3.2491144419608124</v>
      </c>
      <c r="F84" s="1">
        <v>4.2535128813168477</v>
      </c>
      <c r="G84" s="1">
        <v>3.2679663143868569</v>
      </c>
      <c r="H84" s="2">
        <v>4.7056398875698306</v>
      </c>
      <c r="I84" s="2">
        <v>2.1280543220835808</v>
      </c>
      <c r="J84" s="2">
        <v>1.1053876811070469</v>
      </c>
      <c r="K84" s="2">
        <v>2.892967958131591</v>
      </c>
      <c r="L84" s="2">
        <v>2.6559473349207909</v>
      </c>
      <c r="N84">
        <f t="shared" si="12"/>
        <v>2.5988161543863959</v>
      </c>
      <c r="O84">
        <f t="shared" si="13"/>
        <v>2.6975994367625682</v>
      </c>
      <c r="P84">
        <f t="shared" si="14"/>
        <v>0.9338202102464791</v>
      </c>
      <c r="Q84">
        <f t="shared" si="15"/>
        <v>0.91164190305638937</v>
      </c>
      <c r="R84">
        <f t="shared" si="16"/>
        <v>-9.878328237617226E-2</v>
      </c>
      <c r="S84">
        <f t="shared" si="17"/>
        <v>4.0175720955547126E-2</v>
      </c>
      <c r="T84" t="s">
        <v>121</v>
      </c>
    </row>
    <row r="85" spans="1:20" x14ac:dyDescent="0.2">
      <c r="A85" t="s">
        <v>122</v>
      </c>
      <c r="B85" s="1">
        <v>0.44172515167669635</v>
      </c>
      <c r="C85" s="1">
        <v>-0.56645822941712465</v>
      </c>
      <c r="D85" s="1">
        <v>-0.46751556063262467</v>
      </c>
      <c r="E85" s="1">
        <v>0.53604322159224138</v>
      </c>
      <c r="F85" s="1">
        <v>0.33813659414223718</v>
      </c>
      <c r="G85" s="1">
        <v>-1.2694896575957119E-2</v>
      </c>
      <c r="H85" s="2">
        <v>0.60168362375968099</v>
      </c>
      <c r="I85" s="2">
        <v>-1.497330459568549</v>
      </c>
      <c r="J85" s="2">
        <v>1.561662339801881</v>
      </c>
      <c r="K85" s="2">
        <v>1.7720069241714109</v>
      </c>
      <c r="L85" s="2">
        <v>0.24936211847373785</v>
      </c>
      <c r="N85">
        <f t="shared" si="12"/>
        <v>4.4872713464244741E-2</v>
      </c>
      <c r="O85">
        <f t="shared" si="13"/>
        <v>0.53747690932763237</v>
      </c>
      <c r="P85">
        <f t="shared" si="14"/>
        <v>0.71074098700535282</v>
      </c>
      <c r="Q85">
        <f t="shared" si="15"/>
        <v>0.45992117865323134</v>
      </c>
      <c r="R85">
        <f t="shared" si="16"/>
        <v>-0.49260419586338772</v>
      </c>
      <c r="S85">
        <f t="shared" si="17"/>
        <v>0.33731659138169684</v>
      </c>
      <c r="T85" t="s">
        <v>122</v>
      </c>
    </row>
    <row r="86" spans="1:20" x14ac:dyDescent="0.2">
      <c r="A86" t="s">
        <v>123</v>
      </c>
      <c r="B86" s="1">
        <v>0.79673067844520518</v>
      </c>
      <c r="C86" s="1">
        <v>0.15280489901798217</v>
      </c>
      <c r="D86" s="1">
        <v>-0.17799166668653288</v>
      </c>
      <c r="E86" s="1">
        <v>0.26171955305486716</v>
      </c>
      <c r="F86" s="1">
        <v>0.67361379326974435</v>
      </c>
      <c r="G86" s="1">
        <v>0.60079348010487332</v>
      </c>
      <c r="H86" s="2">
        <v>1.6658418315163441</v>
      </c>
      <c r="I86" s="2">
        <v>-1.3947778897910759</v>
      </c>
      <c r="J86" s="2">
        <v>1.1865922714108343</v>
      </c>
      <c r="K86" s="2">
        <v>1.1385858497941044</v>
      </c>
      <c r="L86" s="2">
        <v>0.59817487055382412</v>
      </c>
      <c r="N86">
        <f t="shared" si="12"/>
        <v>0.38461178953435654</v>
      </c>
      <c r="O86">
        <f t="shared" si="13"/>
        <v>0.63888338669680622</v>
      </c>
      <c r="P86">
        <f t="shared" si="14"/>
        <v>0.83841033313049917</v>
      </c>
      <c r="Q86">
        <f t="shared" si="15"/>
        <v>0.66844840072122613</v>
      </c>
      <c r="R86">
        <f t="shared" si="16"/>
        <v>-0.25427159716244963</v>
      </c>
      <c r="S86">
        <f t="shared" si="17"/>
        <v>0.17493211143406107</v>
      </c>
      <c r="T86" t="s">
        <v>123</v>
      </c>
    </row>
    <row r="87" spans="1:20" x14ac:dyDescent="0.2">
      <c r="A87" t="s">
        <v>124</v>
      </c>
      <c r="B87" s="1">
        <v>0.31306640701280269</v>
      </c>
      <c r="C87" s="1">
        <v>1.2365721151657678</v>
      </c>
      <c r="D87" s="1">
        <v>-0.53088483895474325</v>
      </c>
      <c r="E87" s="1">
        <v>-0.8378224139965863</v>
      </c>
      <c r="F87" s="1">
        <v>-0.75067801766669318</v>
      </c>
      <c r="G87" s="1">
        <v>-0.10228494147158229</v>
      </c>
      <c r="H87" s="2">
        <v>-0.87558048875811745</v>
      </c>
      <c r="I87" s="2">
        <v>0.22971344179258113</v>
      </c>
      <c r="J87" s="2">
        <v>0.13654175344870023</v>
      </c>
      <c r="K87" s="2">
        <v>0.19233998603788915</v>
      </c>
      <c r="L87" s="2">
        <v>-0.14523267103117476</v>
      </c>
      <c r="N87">
        <f t="shared" si="12"/>
        <v>-0.11200528165183911</v>
      </c>
      <c r="O87">
        <f t="shared" si="13"/>
        <v>-9.2443595702024345E-2</v>
      </c>
      <c r="P87">
        <f t="shared" si="14"/>
        <v>0.9865323834361005</v>
      </c>
      <c r="Q87">
        <f t="shared" si="15"/>
        <v>0.96043575861234587</v>
      </c>
      <c r="R87">
        <f t="shared" si="16"/>
        <v>-1.9561685949814587E-2</v>
      </c>
      <c r="S87">
        <f t="shared" si="17"/>
        <v>1.7531678811887354E-2</v>
      </c>
      <c r="T87" t="s">
        <v>124</v>
      </c>
    </row>
    <row r="88" spans="1:20" x14ac:dyDescent="0.2">
      <c r="A88" t="s">
        <v>125</v>
      </c>
      <c r="B88" s="1">
        <v>0.69413304585984059</v>
      </c>
      <c r="C88" s="1">
        <v>0.11825146934331859</v>
      </c>
      <c r="D88" s="1">
        <v>-0.16217899715994039</v>
      </c>
      <c r="E88" s="1">
        <v>0.25021833647211755</v>
      </c>
      <c r="F88" s="1">
        <v>-1.0406970839108773</v>
      </c>
      <c r="G88" s="1">
        <v>0.3763839321465286</v>
      </c>
      <c r="H88" s="2">
        <v>0.48617272614091522</v>
      </c>
      <c r="I88" s="2">
        <v>-0.36279899306143787</v>
      </c>
      <c r="J88" s="2">
        <v>0.63512095912433519</v>
      </c>
      <c r="K88" s="2">
        <v>0.37009689224149511</v>
      </c>
      <c r="L88" s="2">
        <v>2.5424541960001101E-2</v>
      </c>
      <c r="N88">
        <f t="shared" si="12"/>
        <v>3.9351783791831289E-2</v>
      </c>
      <c r="O88">
        <f t="shared" si="13"/>
        <v>0.23080322528106176</v>
      </c>
      <c r="P88">
        <f t="shared" si="14"/>
        <v>0.87572424459062703</v>
      </c>
      <c r="Q88">
        <f t="shared" si="15"/>
        <v>0.54446736743645519</v>
      </c>
      <c r="R88">
        <f t="shared" si="16"/>
        <v>-0.19145144148923035</v>
      </c>
      <c r="S88">
        <f t="shared" si="17"/>
        <v>0.2640281444976863</v>
      </c>
      <c r="T88" t="s">
        <v>125</v>
      </c>
    </row>
    <row r="89" spans="1:20" x14ac:dyDescent="0.2">
      <c r="A89" t="s">
        <v>126</v>
      </c>
      <c r="B89" s="1">
        <v>0.92556391141130101</v>
      </c>
      <c r="C89" s="1">
        <v>-4.7853802108274945E-2</v>
      </c>
      <c r="D89" s="1">
        <v>-0.62573476758634905</v>
      </c>
      <c r="E89" s="1">
        <v>-2.207306952948962E-3</v>
      </c>
      <c r="F89" s="1">
        <v>3.0148093143563218E-2</v>
      </c>
      <c r="G89" s="1">
        <v>0.27130405980472622</v>
      </c>
      <c r="H89" s="2">
        <v>0.44564758781676617</v>
      </c>
      <c r="I89" s="2">
        <v>-1.5614374409426177</v>
      </c>
      <c r="J89" s="2">
        <v>8.4769575063367242E-2</v>
      </c>
      <c r="K89" s="2">
        <v>-0.86537093398669074</v>
      </c>
      <c r="L89" s="2">
        <v>0.16274843000057726</v>
      </c>
      <c r="N89">
        <f t="shared" si="12"/>
        <v>9.1870031285336259E-2</v>
      </c>
      <c r="O89">
        <f t="shared" si="13"/>
        <v>-0.34672855640971956</v>
      </c>
      <c r="P89">
        <f t="shared" si="14"/>
        <v>1.3552871822004988</v>
      </c>
      <c r="Q89">
        <f t="shared" si="15"/>
        <v>0.34335722736849578</v>
      </c>
      <c r="R89">
        <f t="shared" si="16"/>
        <v>0.43859858769505577</v>
      </c>
      <c r="S89">
        <f t="shared" si="17"/>
        <v>0.46425380665561644</v>
      </c>
      <c r="T89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E1AA-89FA-7248-B1DB-58B9057FDB83}">
  <dimension ref="A1:CJ89"/>
  <sheetViews>
    <sheetView topLeftCell="AH1" workbookViewId="0">
      <selection activeCell="AL11" sqref="AL11"/>
    </sheetView>
  </sheetViews>
  <sheetFormatPr baseColWidth="10" defaultRowHeight="16" x14ac:dyDescent="0.2"/>
  <cols>
    <col min="1" max="1" width="21" bestFit="1" customWidth="1"/>
    <col min="2" max="75" width="12.83203125" bestFit="1" customWidth="1"/>
    <col min="77" max="78" width="12.83203125" bestFit="1" customWidth="1"/>
    <col min="79" max="80" width="12.1640625" bestFit="1" customWidth="1"/>
    <col min="81" max="81" width="12.83203125" bestFit="1" customWidth="1"/>
    <col min="82" max="82" width="12.1640625" bestFit="1" customWidth="1"/>
    <col min="83" max="83" width="21" bestFit="1" customWidth="1"/>
    <col min="86" max="86" width="21" bestFit="1" customWidth="1"/>
    <col min="87" max="87" width="12.83203125" bestFit="1" customWidth="1"/>
    <col min="88" max="88" width="12.1640625" bestFit="1" customWidth="1"/>
  </cols>
  <sheetData>
    <row r="1" spans="1:88" x14ac:dyDescent="0.2">
      <c r="A1" t="s">
        <v>0</v>
      </c>
      <c r="B1" t="s">
        <v>132</v>
      </c>
      <c r="C1" t="s">
        <v>1</v>
      </c>
      <c r="D1" t="s">
        <v>133</v>
      </c>
      <c r="E1" t="s">
        <v>2</v>
      </c>
      <c r="F1" t="s">
        <v>134</v>
      </c>
      <c r="G1" t="s">
        <v>3</v>
      </c>
      <c r="H1" t="s">
        <v>135</v>
      </c>
      <c r="I1" t="s">
        <v>4</v>
      </c>
      <c r="J1" t="s">
        <v>136</v>
      </c>
      <c r="K1" t="s">
        <v>5</v>
      </c>
      <c r="L1" t="s">
        <v>137</v>
      </c>
      <c r="M1" t="s">
        <v>6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7</v>
      </c>
      <c r="AM1" t="s">
        <v>8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15</v>
      </c>
      <c r="AU1" t="s">
        <v>16</v>
      </c>
      <c r="AV1" t="s">
        <v>267</v>
      </c>
      <c r="AW1" t="s">
        <v>244</v>
      </c>
      <c r="AX1" t="s">
        <v>268</v>
      </c>
      <c r="AY1" t="s">
        <v>245</v>
      </c>
      <c r="AZ1" t="s">
        <v>269</v>
      </c>
      <c r="BA1" t="s">
        <v>246</v>
      </c>
      <c r="BB1" t="s">
        <v>270</v>
      </c>
      <c r="BC1" t="s">
        <v>247</v>
      </c>
      <c r="BD1" t="s">
        <v>271</v>
      </c>
      <c r="BE1" t="s">
        <v>248</v>
      </c>
      <c r="BF1" t="s">
        <v>272</v>
      </c>
      <c r="BG1" t="s">
        <v>249</v>
      </c>
      <c r="BH1" t="s">
        <v>273</v>
      </c>
      <c r="BI1" t="s">
        <v>250</v>
      </c>
      <c r="BJ1" t="s">
        <v>274</v>
      </c>
      <c r="BK1" t="s">
        <v>251</v>
      </c>
      <c r="BL1" t="s">
        <v>275</v>
      </c>
      <c r="BM1" t="s">
        <v>252</v>
      </c>
      <c r="BN1" t="s">
        <v>276</v>
      </c>
      <c r="BO1" t="s">
        <v>253</v>
      </c>
      <c r="BP1" t="s">
        <v>277</v>
      </c>
      <c r="BQ1" t="s">
        <v>254</v>
      </c>
      <c r="BR1" t="s">
        <v>278</v>
      </c>
      <c r="BS1" t="s">
        <v>255</v>
      </c>
      <c r="BT1" t="s">
        <v>279</v>
      </c>
      <c r="BU1" t="s">
        <v>256</v>
      </c>
      <c r="BV1" t="s">
        <v>280</v>
      </c>
      <c r="BW1" t="s">
        <v>257</v>
      </c>
      <c r="CH1" s="3" t="s">
        <v>131</v>
      </c>
      <c r="CI1" s="3" t="s">
        <v>129</v>
      </c>
      <c r="CJ1" s="3" t="s">
        <v>130</v>
      </c>
    </row>
    <row r="2" spans="1:88" x14ac:dyDescent="0.2">
      <c r="A2" t="s">
        <v>17</v>
      </c>
      <c r="B2" t="s">
        <v>18</v>
      </c>
      <c r="C2" t="s">
        <v>18</v>
      </c>
      <c r="D2" t="s">
        <v>19</v>
      </c>
      <c r="E2" t="s">
        <v>19</v>
      </c>
      <c r="F2" t="s">
        <v>20</v>
      </c>
      <c r="G2" t="s">
        <v>20</v>
      </c>
      <c r="H2" t="s">
        <v>21</v>
      </c>
      <c r="I2" t="s">
        <v>21</v>
      </c>
      <c r="J2" t="s">
        <v>22</v>
      </c>
      <c r="K2" t="s">
        <v>22</v>
      </c>
      <c r="L2" t="s">
        <v>23</v>
      </c>
      <c r="M2" t="s">
        <v>23</v>
      </c>
      <c r="N2" t="s">
        <v>206</v>
      </c>
      <c r="O2" t="s">
        <v>206</v>
      </c>
      <c r="P2" t="s">
        <v>207</v>
      </c>
      <c r="Q2" t="s">
        <v>207</v>
      </c>
      <c r="R2" t="s">
        <v>208</v>
      </c>
      <c r="S2" t="s">
        <v>208</v>
      </c>
      <c r="T2" t="s">
        <v>209</v>
      </c>
      <c r="U2" t="s">
        <v>209</v>
      </c>
      <c r="V2" t="s">
        <v>210</v>
      </c>
      <c r="W2" t="s">
        <v>210</v>
      </c>
      <c r="X2" t="s">
        <v>211</v>
      </c>
      <c r="Y2" t="s">
        <v>211</v>
      </c>
      <c r="Z2" t="s">
        <v>212</v>
      </c>
      <c r="AA2" t="s">
        <v>212</v>
      </c>
      <c r="AB2" t="s">
        <v>213</v>
      </c>
      <c r="AC2" t="s">
        <v>213</v>
      </c>
      <c r="AD2" t="s">
        <v>214</v>
      </c>
      <c r="AE2" t="s">
        <v>214</v>
      </c>
      <c r="AF2" t="s">
        <v>215</v>
      </c>
      <c r="AG2" t="s">
        <v>215</v>
      </c>
      <c r="AH2" t="s">
        <v>216</v>
      </c>
      <c r="AI2" t="s">
        <v>216</v>
      </c>
      <c r="AJ2" t="s">
        <v>217</v>
      </c>
      <c r="AK2" t="s">
        <v>217</v>
      </c>
      <c r="AL2" t="s">
        <v>24</v>
      </c>
      <c r="AM2" t="s">
        <v>24</v>
      </c>
      <c r="AN2" t="s">
        <v>24</v>
      </c>
      <c r="AO2" t="s">
        <v>24</v>
      </c>
      <c r="AP2" t="s">
        <v>25</v>
      </c>
      <c r="AQ2" t="s">
        <v>25</v>
      </c>
      <c r="AR2" t="s">
        <v>25</v>
      </c>
      <c r="AS2" t="s">
        <v>25</v>
      </c>
      <c r="AT2" t="s">
        <v>26</v>
      </c>
      <c r="AU2" t="s">
        <v>26</v>
      </c>
      <c r="AV2" t="s">
        <v>258</v>
      </c>
      <c r="AW2" t="s">
        <v>258</v>
      </c>
      <c r="AX2" t="s">
        <v>259</v>
      </c>
      <c r="AY2" t="s">
        <v>259</v>
      </c>
      <c r="AZ2" t="s">
        <v>260</v>
      </c>
      <c r="BA2" t="s">
        <v>260</v>
      </c>
      <c r="BB2" t="s">
        <v>261</v>
      </c>
      <c r="BC2" t="s">
        <v>261</v>
      </c>
      <c r="BD2" t="s">
        <v>262</v>
      </c>
      <c r="BE2" t="s">
        <v>262</v>
      </c>
      <c r="BF2" t="s">
        <v>258</v>
      </c>
      <c r="BG2" t="s">
        <v>258</v>
      </c>
      <c r="BH2" t="s">
        <v>259</v>
      </c>
      <c r="BI2" t="s">
        <v>259</v>
      </c>
      <c r="BJ2" t="s">
        <v>260</v>
      </c>
      <c r="BK2" t="s">
        <v>260</v>
      </c>
      <c r="BL2" t="s">
        <v>261</v>
      </c>
      <c r="BM2" t="s">
        <v>261</v>
      </c>
      <c r="BN2" t="s">
        <v>262</v>
      </c>
      <c r="BO2" t="s">
        <v>262</v>
      </c>
      <c r="BP2" t="s">
        <v>263</v>
      </c>
      <c r="BQ2" t="s">
        <v>263</v>
      </c>
      <c r="BR2" t="s">
        <v>264</v>
      </c>
      <c r="BS2" t="s">
        <v>264</v>
      </c>
      <c r="BT2" t="s">
        <v>265</v>
      </c>
      <c r="BU2" t="s">
        <v>265</v>
      </c>
      <c r="BV2" t="s">
        <v>266</v>
      </c>
      <c r="BW2" t="s">
        <v>266</v>
      </c>
      <c r="CH2" t="s">
        <v>92</v>
      </c>
      <c r="CI2">
        <v>0.57610378884317681</v>
      </c>
      <c r="CJ2">
        <v>3.6182142974047395</v>
      </c>
    </row>
    <row r="3" spans="1:88" x14ac:dyDescent="0.2">
      <c r="A3" t="s">
        <v>27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H3" t="s">
        <v>93</v>
      </c>
      <c r="CI3">
        <v>0.62545108940759353</v>
      </c>
      <c r="CJ3">
        <v>2.1594927405372868</v>
      </c>
    </row>
    <row r="4" spans="1:88" x14ac:dyDescent="0.2">
      <c r="A4" t="s">
        <v>28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236</v>
      </c>
      <c r="O4" t="s">
        <v>236</v>
      </c>
      <c r="P4" t="s">
        <v>236</v>
      </c>
      <c r="Q4" t="s">
        <v>236</v>
      </c>
      <c r="R4" t="s">
        <v>236</v>
      </c>
      <c r="S4" t="s">
        <v>236</v>
      </c>
      <c r="T4" t="s">
        <v>236</v>
      </c>
      <c r="U4" t="s">
        <v>236</v>
      </c>
      <c r="V4" t="s">
        <v>236</v>
      </c>
      <c r="W4" t="s">
        <v>236</v>
      </c>
      <c r="X4" t="s">
        <v>236</v>
      </c>
      <c r="Y4" t="s">
        <v>236</v>
      </c>
      <c r="Z4" t="s">
        <v>236</v>
      </c>
      <c r="AA4" t="s">
        <v>236</v>
      </c>
      <c r="AB4" t="s">
        <v>236</v>
      </c>
      <c r="AC4" t="s">
        <v>236</v>
      </c>
      <c r="AD4" t="s">
        <v>236</v>
      </c>
      <c r="AE4" t="s">
        <v>236</v>
      </c>
      <c r="AF4" t="s">
        <v>236</v>
      </c>
      <c r="AG4" t="s">
        <v>236</v>
      </c>
      <c r="AH4" t="s">
        <v>236</v>
      </c>
      <c r="AI4" t="s">
        <v>236</v>
      </c>
      <c r="AJ4" t="s">
        <v>236</v>
      </c>
      <c r="AK4" t="s">
        <v>236</v>
      </c>
      <c r="AL4" t="s">
        <v>29</v>
      </c>
      <c r="AM4" t="s">
        <v>29</v>
      </c>
      <c r="AN4" t="s">
        <v>29</v>
      </c>
      <c r="AO4" t="s">
        <v>29</v>
      </c>
      <c r="AP4" t="s">
        <v>29</v>
      </c>
      <c r="AQ4" t="s">
        <v>29</v>
      </c>
      <c r="AR4" t="s">
        <v>29</v>
      </c>
      <c r="AS4" t="s">
        <v>29</v>
      </c>
      <c r="AT4" t="s">
        <v>29</v>
      </c>
      <c r="AU4" t="s">
        <v>29</v>
      </c>
      <c r="AV4" t="s">
        <v>236</v>
      </c>
      <c r="AW4" t="s">
        <v>236</v>
      </c>
      <c r="AX4" t="s">
        <v>236</v>
      </c>
      <c r="AY4" t="s">
        <v>236</v>
      </c>
      <c r="AZ4" t="s">
        <v>236</v>
      </c>
      <c r="BA4" t="s">
        <v>236</v>
      </c>
      <c r="BB4" t="s">
        <v>236</v>
      </c>
      <c r="BC4" t="s">
        <v>236</v>
      </c>
      <c r="BD4" t="s">
        <v>236</v>
      </c>
      <c r="BE4" t="s">
        <v>236</v>
      </c>
      <c r="BF4" t="s">
        <v>236</v>
      </c>
      <c r="BG4" t="s">
        <v>236</v>
      </c>
      <c r="BH4" t="s">
        <v>236</v>
      </c>
      <c r="BI4" t="s">
        <v>236</v>
      </c>
      <c r="BJ4" t="s">
        <v>236</v>
      </c>
      <c r="BK4" t="s">
        <v>236</v>
      </c>
      <c r="BL4" t="s">
        <v>236</v>
      </c>
      <c r="BM4" t="s">
        <v>236</v>
      </c>
      <c r="BN4" t="s">
        <v>236</v>
      </c>
      <c r="BO4" t="s">
        <v>236</v>
      </c>
      <c r="BP4" t="s">
        <v>236</v>
      </c>
      <c r="BQ4" t="s">
        <v>236</v>
      </c>
      <c r="BR4" t="s">
        <v>236</v>
      </c>
      <c r="BS4" t="s">
        <v>236</v>
      </c>
      <c r="BT4" t="s">
        <v>236</v>
      </c>
      <c r="BU4" t="s">
        <v>236</v>
      </c>
      <c r="BV4" t="s">
        <v>236</v>
      </c>
      <c r="BW4" t="s">
        <v>236</v>
      </c>
      <c r="CH4" t="s">
        <v>64</v>
      </c>
      <c r="CI4">
        <v>-0.41671933713046649</v>
      </c>
      <c r="CJ4">
        <v>1.2244759291423148</v>
      </c>
    </row>
    <row r="5" spans="1:88" x14ac:dyDescent="0.2">
      <c r="A5" t="s">
        <v>30</v>
      </c>
      <c r="B5" t="s">
        <v>31</v>
      </c>
      <c r="C5" t="s">
        <v>31</v>
      </c>
      <c r="D5" t="s">
        <v>32</v>
      </c>
      <c r="E5" t="s">
        <v>32</v>
      </c>
      <c r="F5" t="s">
        <v>33</v>
      </c>
      <c r="G5" t="s">
        <v>33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33</v>
      </c>
      <c r="Q5" t="s">
        <v>33</v>
      </c>
      <c r="R5" t="s">
        <v>32</v>
      </c>
      <c r="S5" t="s">
        <v>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33</v>
      </c>
      <c r="AA5" t="s">
        <v>33</v>
      </c>
      <c r="AB5" t="s">
        <v>32</v>
      </c>
      <c r="AC5" t="s">
        <v>32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237</v>
      </c>
      <c r="AK5" t="s">
        <v>237</v>
      </c>
      <c r="AL5" t="s">
        <v>34</v>
      </c>
      <c r="AM5" t="s">
        <v>34</v>
      </c>
      <c r="AN5" t="s">
        <v>34</v>
      </c>
      <c r="AO5" t="s">
        <v>34</v>
      </c>
      <c r="AP5" t="s">
        <v>33</v>
      </c>
      <c r="AQ5" t="s">
        <v>33</v>
      </c>
      <c r="AR5" t="s">
        <v>33</v>
      </c>
      <c r="AS5" t="s">
        <v>33</v>
      </c>
      <c r="AT5" t="s">
        <v>34</v>
      </c>
      <c r="AU5" t="s">
        <v>34</v>
      </c>
      <c r="AV5" t="s">
        <v>31</v>
      </c>
      <c r="AW5" t="s">
        <v>31</v>
      </c>
      <c r="AX5" t="s">
        <v>32</v>
      </c>
      <c r="AY5" t="s">
        <v>32</v>
      </c>
      <c r="AZ5" t="s">
        <v>32</v>
      </c>
      <c r="BA5" t="s">
        <v>32</v>
      </c>
      <c r="BB5" t="s">
        <v>34</v>
      </c>
      <c r="BC5" t="s">
        <v>34</v>
      </c>
      <c r="BD5" t="s">
        <v>31</v>
      </c>
      <c r="BE5" t="s">
        <v>31</v>
      </c>
      <c r="BF5" t="s">
        <v>31</v>
      </c>
      <c r="BG5" t="s">
        <v>31</v>
      </c>
      <c r="BH5" t="s">
        <v>32</v>
      </c>
      <c r="BI5" t="s">
        <v>32</v>
      </c>
      <c r="BJ5" t="s">
        <v>32</v>
      </c>
      <c r="BK5" t="s">
        <v>32</v>
      </c>
      <c r="BL5" t="s">
        <v>34</v>
      </c>
      <c r="BM5" t="s">
        <v>34</v>
      </c>
      <c r="BN5" t="s">
        <v>31</v>
      </c>
      <c r="BO5" t="s">
        <v>31</v>
      </c>
      <c r="BP5" t="s">
        <v>34</v>
      </c>
      <c r="BQ5" t="s">
        <v>34</v>
      </c>
      <c r="BR5" t="s">
        <v>31</v>
      </c>
      <c r="BS5" t="s">
        <v>31</v>
      </c>
      <c r="BT5" t="s">
        <v>31</v>
      </c>
      <c r="BU5" t="s">
        <v>31</v>
      </c>
      <c r="BV5" t="s">
        <v>31</v>
      </c>
      <c r="BW5" t="s">
        <v>31</v>
      </c>
      <c r="CH5" t="s">
        <v>81</v>
      </c>
      <c r="CI5">
        <v>-0.55949706062929205</v>
      </c>
      <c r="CJ5">
        <v>1.1682335063875746</v>
      </c>
    </row>
    <row r="6" spans="1:88" x14ac:dyDescent="0.2">
      <c r="A6" t="s">
        <v>35</v>
      </c>
      <c r="B6" t="s">
        <v>36</v>
      </c>
      <c r="C6" t="s">
        <v>37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37</v>
      </c>
      <c r="J6" t="s">
        <v>36</v>
      </c>
      <c r="K6" t="s">
        <v>37</v>
      </c>
      <c r="L6" t="s">
        <v>36</v>
      </c>
      <c r="M6" t="s">
        <v>37</v>
      </c>
      <c r="N6" t="s">
        <v>36</v>
      </c>
      <c r="O6" t="s">
        <v>37</v>
      </c>
      <c r="P6" t="s">
        <v>36</v>
      </c>
      <c r="Q6" t="s">
        <v>37</v>
      </c>
      <c r="R6" t="s">
        <v>36</v>
      </c>
      <c r="S6" t="s">
        <v>37</v>
      </c>
      <c r="T6" t="s">
        <v>36</v>
      </c>
      <c r="U6" t="s">
        <v>37</v>
      </c>
      <c r="V6" t="s">
        <v>36</v>
      </c>
      <c r="W6" t="s">
        <v>37</v>
      </c>
      <c r="X6" t="s">
        <v>36</v>
      </c>
      <c r="Y6" t="s">
        <v>37</v>
      </c>
      <c r="Z6" t="s">
        <v>36</v>
      </c>
      <c r="AA6" t="s">
        <v>37</v>
      </c>
      <c r="AB6" t="s">
        <v>36</v>
      </c>
      <c r="AC6" t="s">
        <v>37</v>
      </c>
      <c r="AD6" t="s">
        <v>36</v>
      </c>
      <c r="AE6" t="s">
        <v>37</v>
      </c>
      <c r="AF6" t="s">
        <v>36</v>
      </c>
      <c r="AG6" t="s">
        <v>37</v>
      </c>
      <c r="AH6" t="s">
        <v>36</v>
      </c>
      <c r="AI6" t="s">
        <v>37</v>
      </c>
      <c r="AJ6" t="s">
        <v>36</v>
      </c>
      <c r="AK6" t="s">
        <v>37</v>
      </c>
      <c r="AL6" t="s">
        <v>36</v>
      </c>
      <c r="AM6" t="s">
        <v>37</v>
      </c>
      <c r="AN6" t="s">
        <v>36</v>
      </c>
      <c r="AO6" t="s">
        <v>37</v>
      </c>
      <c r="AP6" t="s">
        <v>36</v>
      </c>
      <c r="AQ6" t="s">
        <v>36</v>
      </c>
      <c r="AR6" t="s">
        <v>37</v>
      </c>
      <c r="AS6" t="s">
        <v>37</v>
      </c>
      <c r="AT6" t="s">
        <v>36</v>
      </c>
      <c r="AU6" t="s">
        <v>37</v>
      </c>
      <c r="AV6" t="s">
        <v>36</v>
      </c>
      <c r="AW6" t="s">
        <v>37</v>
      </c>
      <c r="AX6" t="s">
        <v>36</v>
      </c>
      <c r="AY6" t="s">
        <v>37</v>
      </c>
      <c r="AZ6" t="s">
        <v>36</v>
      </c>
      <c r="BA6" t="s">
        <v>37</v>
      </c>
      <c r="BB6" t="s">
        <v>36</v>
      </c>
      <c r="BC6" t="s">
        <v>37</v>
      </c>
      <c r="BD6" t="s">
        <v>36</v>
      </c>
      <c r="BE6" t="s">
        <v>37</v>
      </c>
      <c r="BF6" t="s">
        <v>36</v>
      </c>
      <c r="BG6" t="s">
        <v>37</v>
      </c>
      <c r="BH6" t="s">
        <v>36</v>
      </c>
      <c r="BI6" t="s">
        <v>37</v>
      </c>
      <c r="BJ6" t="s">
        <v>36</v>
      </c>
      <c r="BK6" t="s">
        <v>37</v>
      </c>
      <c r="BL6" t="s">
        <v>36</v>
      </c>
      <c r="BM6" t="s">
        <v>37</v>
      </c>
      <c r="BN6" t="s">
        <v>36</v>
      </c>
      <c r="BO6" t="s">
        <v>37</v>
      </c>
      <c r="BP6" t="s">
        <v>36</v>
      </c>
      <c r="BQ6" t="s">
        <v>37</v>
      </c>
      <c r="BR6" t="s">
        <v>36</v>
      </c>
      <c r="BS6" t="s">
        <v>37</v>
      </c>
      <c r="BT6" t="s">
        <v>36</v>
      </c>
      <c r="BU6" t="s">
        <v>37</v>
      </c>
      <c r="BV6" t="s">
        <v>36</v>
      </c>
      <c r="BW6" t="s">
        <v>37</v>
      </c>
      <c r="CH6" t="s">
        <v>124</v>
      </c>
      <c r="CI6">
        <v>-0.29048242978793654</v>
      </c>
      <c r="CJ6">
        <v>1.1586024948848153</v>
      </c>
    </row>
    <row r="7" spans="1:88" x14ac:dyDescent="0.2">
      <c r="A7" t="s">
        <v>38</v>
      </c>
      <c r="B7">
        <v>0</v>
      </c>
      <c r="C7">
        <v>0</v>
      </c>
      <c r="D7" t="s">
        <v>39</v>
      </c>
      <c r="E7" t="s">
        <v>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39</v>
      </c>
      <c r="AA7" t="s">
        <v>39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40</v>
      </c>
      <c r="AM7" t="s">
        <v>40</v>
      </c>
      <c r="AN7" t="s">
        <v>40</v>
      </c>
      <c r="AO7" t="s">
        <v>40</v>
      </c>
      <c r="AP7">
        <v>0</v>
      </c>
      <c r="AQ7">
        <v>0</v>
      </c>
      <c r="AR7">
        <v>0</v>
      </c>
      <c r="AS7">
        <v>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>
        <v>0</v>
      </c>
      <c r="BA7">
        <v>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>
        <v>0</v>
      </c>
      <c r="BK7">
        <v>0</v>
      </c>
      <c r="BL7" t="s">
        <v>40</v>
      </c>
      <c r="BM7" t="s">
        <v>40</v>
      </c>
      <c r="BN7" t="s">
        <v>40</v>
      </c>
      <c r="BO7" t="s">
        <v>40</v>
      </c>
      <c r="BP7">
        <v>0</v>
      </c>
      <c r="BQ7">
        <v>0</v>
      </c>
      <c r="BR7" t="s">
        <v>40</v>
      </c>
      <c r="BS7" t="s">
        <v>40</v>
      </c>
      <c r="BT7">
        <v>0</v>
      </c>
      <c r="BU7">
        <v>0</v>
      </c>
      <c r="BV7" t="s">
        <v>40</v>
      </c>
      <c r="BW7" t="s">
        <v>40</v>
      </c>
      <c r="CH7" t="s">
        <v>83</v>
      </c>
      <c r="CI7">
        <v>-0.26901772154719905</v>
      </c>
      <c r="CJ7">
        <v>1.0993866348855563</v>
      </c>
    </row>
    <row r="8" spans="1:88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 t="s">
        <v>40</v>
      </c>
      <c r="AT8" t="s">
        <v>40</v>
      </c>
      <c r="AU8" t="s">
        <v>40</v>
      </c>
      <c r="AV8" t="s">
        <v>40</v>
      </c>
      <c r="AW8" t="s">
        <v>40</v>
      </c>
      <c r="AX8" t="s">
        <v>40</v>
      </c>
      <c r="AY8" t="s">
        <v>40</v>
      </c>
      <c r="AZ8" t="s">
        <v>40</v>
      </c>
      <c r="BA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CH8" t="s">
        <v>105</v>
      </c>
      <c r="CI8">
        <v>0.6376900068290684</v>
      </c>
      <c r="CJ8">
        <v>1.0317786397967623</v>
      </c>
    </row>
    <row r="9" spans="1:88" x14ac:dyDescent="0.2">
      <c r="A9" t="s">
        <v>43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  <c r="AT9" t="s">
        <v>45</v>
      </c>
      <c r="AU9" t="s">
        <v>45</v>
      </c>
      <c r="AV9" t="s">
        <v>45</v>
      </c>
      <c r="AW9" t="s">
        <v>45</v>
      </c>
      <c r="AX9" t="s">
        <v>45</v>
      </c>
      <c r="AY9" t="s">
        <v>45</v>
      </c>
      <c r="AZ9" t="s">
        <v>45</v>
      </c>
      <c r="BA9" t="s">
        <v>45</v>
      </c>
      <c r="BB9" t="s">
        <v>45</v>
      </c>
      <c r="BC9" t="s">
        <v>45</v>
      </c>
      <c r="BD9" t="s">
        <v>45</v>
      </c>
      <c r="BE9" t="s">
        <v>45</v>
      </c>
      <c r="BF9" t="s">
        <v>45</v>
      </c>
      <c r="BG9" t="s">
        <v>45</v>
      </c>
      <c r="BH9" t="s">
        <v>45</v>
      </c>
      <c r="BI9" t="s">
        <v>45</v>
      </c>
      <c r="BJ9" t="s">
        <v>45</v>
      </c>
      <c r="BK9" t="s">
        <v>45</v>
      </c>
      <c r="BL9" t="s">
        <v>45</v>
      </c>
      <c r="BM9" t="s">
        <v>45</v>
      </c>
      <c r="BN9" t="s">
        <v>45</v>
      </c>
      <c r="BO9" t="s">
        <v>45</v>
      </c>
      <c r="BP9" t="s">
        <v>45</v>
      </c>
      <c r="BQ9" t="s">
        <v>45</v>
      </c>
      <c r="BR9" t="s">
        <v>45</v>
      </c>
      <c r="BS9" t="s">
        <v>45</v>
      </c>
      <c r="BT9" t="s">
        <v>45</v>
      </c>
      <c r="BU9" t="s">
        <v>45</v>
      </c>
      <c r="BV9" t="s">
        <v>45</v>
      </c>
      <c r="BW9" t="s">
        <v>45</v>
      </c>
      <c r="CH9" t="s">
        <v>114</v>
      </c>
      <c r="CI9">
        <v>0.20935221984719724</v>
      </c>
      <c r="CJ9">
        <v>0.95638128729017535</v>
      </c>
    </row>
    <row r="10" spans="1:88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1</v>
      </c>
      <c r="BW10">
        <v>1</v>
      </c>
      <c r="CH10" t="s">
        <v>123</v>
      </c>
      <c r="CI10">
        <v>-0.28281537229619552</v>
      </c>
      <c r="CJ10">
        <v>0.87240152488284839</v>
      </c>
    </row>
    <row r="11" spans="1:88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Y11" s="3" t="s">
        <v>241</v>
      </c>
      <c r="BZ11" s="3" t="s">
        <v>243</v>
      </c>
      <c r="CA11" s="3" t="s">
        <v>127</v>
      </c>
      <c r="CB11" s="3" t="s">
        <v>128</v>
      </c>
      <c r="CC11" s="3" t="s">
        <v>129</v>
      </c>
      <c r="CD11" s="3" t="s">
        <v>130</v>
      </c>
      <c r="CE11" s="3" t="s">
        <v>131</v>
      </c>
      <c r="CH11" t="s">
        <v>106</v>
      </c>
      <c r="CI11">
        <v>0.4313331879290066</v>
      </c>
      <c r="CJ11">
        <v>0.81596748171852151</v>
      </c>
    </row>
    <row r="12" spans="1:88" x14ac:dyDescent="0.2">
      <c r="A12" t="s">
        <v>48</v>
      </c>
      <c r="B12" s="1">
        <v>-0.31763981288480886</v>
      </c>
      <c r="C12" s="1">
        <v>-0.25201390473310487</v>
      </c>
      <c r="D12" s="1">
        <v>-1.9055689202069579</v>
      </c>
      <c r="E12" s="1">
        <v>0.4645038759720681</v>
      </c>
      <c r="F12" s="1">
        <v>-0.25397650184140586</v>
      </c>
      <c r="G12" s="1">
        <v>9.1265746811821178E-3</v>
      </c>
      <c r="H12" s="1">
        <v>-0.55097119490798485</v>
      </c>
      <c r="I12" s="1">
        <v>1.807264633588292</v>
      </c>
      <c r="J12" s="1">
        <v>0.17971945466694464</v>
      </c>
      <c r="K12" s="1">
        <v>0.16051533998753584</v>
      </c>
      <c r="L12" s="1">
        <v>1.3783663369308135</v>
      </c>
      <c r="M12" s="1">
        <v>-0.22098683199249056</v>
      </c>
      <c r="N12" s="1">
        <v>1.0534429614420922</v>
      </c>
      <c r="O12" s="1">
        <v>0.24286135527610711</v>
      </c>
      <c r="P12" s="1">
        <v>-0.16695401918372488</v>
      </c>
      <c r="Q12" s="1">
        <v>1.9564484916976421</v>
      </c>
      <c r="R12" s="1">
        <v>1.9453596421077521</v>
      </c>
      <c r="S12" s="1">
        <v>-3.4535778279741684E-2</v>
      </c>
      <c r="T12" s="1">
        <v>-0.51671004370796592</v>
      </c>
      <c r="U12" s="1">
        <v>0.3575633996700941</v>
      </c>
      <c r="V12" s="1">
        <v>2.3587988486094522</v>
      </c>
      <c r="W12" s="1">
        <v>-0.20122158682514288</v>
      </c>
      <c r="X12" s="1">
        <v>-0.22548518557383887</v>
      </c>
      <c r="Y12" s="1">
        <v>-3.1026016865052984E-2</v>
      </c>
      <c r="Z12" s="1">
        <v>0.75851275933157547</v>
      </c>
      <c r="AA12" s="1">
        <v>-0.11510661648916315</v>
      </c>
      <c r="AB12" s="1">
        <v>-1.1729983108316966</v>
      </c>
      <c r="AC12" s="1" t="s">
        <v>67</v>
      </c>
      <c r="AD12" s="1">
        <v>-0.91110741421611652</v>
      </c>
      <c r="AE12" s="1">
        <v>-0.59164017565709648</v>
      </c>
      <c r="AF12" s="1">
        <v>-0.70862026139860146</v>
      </c>
      <c r="AG12" s="1">
        <v>0.23016974261386797</v>
      </c>
      <c r="AH12" s="1">
        <v>-1.4805899341104567</v>
      </c>
      <c r="AI12" s="1">
        <v>4.7356680322237471E-2</v>
      </c>
      <c r="AJ12" s="1">
        <v>0.87618479318057552</v>
      </c>
      <c r="AK12" s="1">
        <v>1.7179007118624634</v>
      </c>
      <c r="AL12" s="2">
        <v>-0.92133067877543939</v>
      </c>
      <c r="AM12" s="2">
        <v>-1.9429058627464496E-2</v>
      </c>
      <c r="AN12" s="2">
        <v>-1.0167492845262815</v>
      </c>
      <c r="AO12" s="2">
        <v>-0.6347889088668065</v>
      </c>
      <c r="AP12" s="2">
        <v>-0.22648591255248601</v>
      </c>
      <c r="AQ12" s="2">
        <v>0.1371283702432895</v>
      </c>
      <c r="AR12" s="2">
        <v>1.2847607388582964</v>
      </c>
      <c r="AS12" s="2">
        <v>0.28229273072215449</v>
      </c>
      <c r="AT12" s="2">
        <v>-0.43832917809578847</v>
      </c>
      <c r="AU12" s="2">
        <v>-0.33629203110244854</v>
      </c>
      <c r="AV12" s="2">
        <v>-0.87029323807236247</v>
      </c>
      <c r="AW12" s="2">
        <v>0.66899682047650444</v>
      </c>
      <c r="AX12" s="2">
        <v>2.4041772857488066</v>
      </c>
      <c r="AY12" s="2">
        <v>-0.2527628097271869</v>
      </c>
      <c r="AZ12" s="2">
        <v>-1.0296243217249474</v>
      </c>
      <c r="BA12" s="2">
        <v>1.8981016349499766</v>
      </c>
      <c r="BB12" s="2">
        <v>-0.6471420824024875</v>
      </c>
      <c r="BC12" s="2">
        <v>-8.8500927264844001E-2</v>
      </c>
      <c r="BD12" s="2">
        <v>1.0492242272284709</v>
      </c>
      <c r="BE12" s="2">
        <v>0.99445149474599659</v>
      </c>
      <c r="BF12" s="2">
        <v>1.2009309415091509</v>
      </c>
      <c r="BG12" s="2">
        <v>0.19271203245364849</v>
      </c>
      <c r="BH12" s="2">
        <v>-1.4706549328543734</v>
      </c>
      <c r="BI12" s="2">
        <v>-0.50910123895210746</v>
      </c>
      <c r="BJ12" s="2">
        <v>-1.5761700946552493E-2</v>
      </c>
      <c r="BK12" s="2">
        <v>-0.2637556639753898</v>
      </c>
      <c r="BL12" s="2">
        <v>-0.64276910766251449</v>
      </c>
      <c r="BM12" s="2">
        <v>0.27187003046661651</v>
      </c>
      <c r="BN12" s="2">
        <v>0.29403583286211449</v>
      </c>
      <c r="BO12" s="2">
        <v>0.74223870172530648</v>
      </c>
      <c r="BP12" s="2">
        <v>3.7615666932569514E-2</v>
      </c>
      <c r="BQ12" s="2">
        <v>-0.54059030558904853</v>
      </c>
      <c r="BR12" s="2">
        <v>1.1890686588198867</v>
      </c>
      <c r="BS12" s="2">
        <v>0.24955484719896148</v>
      </c>
      <c r="BT12" s="2">
        <v>2.5955106206965466</v>
      </c>
      <c r="BU12" s="2">
        <v>3.0310969715664666</v>
      </c>
      <c r="BV12" s="2">
        <v>5.141106719283016</v>
      </c>
      <c r="BW12" s="2">
        <v>3.9545424718393565</v>
      </c>
      <c r="BY12">
        <f t="shared" ref="BY12:BY43" si="0">AVERAGE(B12:AK12)</f>
        <v>0.16819837406386703</v>
      </c>
      <c r="BZ12">
        <f t="shared" ref="BZ12:BZ43" si="1">AVERAGE(AL12:BW12)</f>
        <v>0.46565935306864753</v>
      </c>
      <c r="CA12">
        <f t="shared" ref="CA12:CA43" si="2">2^(BY12 - BZ12)</f>
        <v>0.81368315036434136</v>
      </c>
      <c r="CB12">
        <f t="shared" ref="CB12:CB43" si="3">_xlfn.T.TEST(B12:AK12,AL12:BW12, 2, 3)</f>
        <v>0.30081196044684749</v>
      </c>
      <c r="CC12">
        <f t="shared" ref="CC12:CC43" si="4">LOG(CA12,2)</f>
        <v>-0.29746097900478036</v>
      </c>
      <c r="CD12">
        <f t="shared" ref="CD12:CD43" si="5">-LOG(CB12,10)</f>
        <v>0.5217048999527345</v>
      </c>
      <c r="CE12" t="s">
        <v>48</v>
      </c>
      <c r="CH12" t="s">
        <v>82</v>
      </c>
      <c r="CI12">
        <v>-0.45857624229105193</v>
      </c>
      <c r="CJ12">
        <v>0.7604609317458938</v>
      </c>
    </row>
    <row r="13" spans="1:88" x14ac:dyDescent="0.2">
      <c r="A13" t="s">
        <v>49</v>
      </c>
      <c r="B13" s="1">
        <v>-6.0669970226981194E-2</v>
      </c>
      <c r="C13" s="1">
        <v>-0.50624482820981997</v>
      </c>
      <c r="D13" s="1">
        <v>-1.5201672650694409</v>
      </c>
      <c r="E13" s="1">
        <v>-9.525878594462317E-2</v>
      </c>
      <c r="F13" s="1">
        <v>3.3863274613822791</v>
      </c>
      <c r="G13" s="1">
        <v>2.2430188924617989</v>
      </c>
      <c r="H13" s="1">
        <v>0.36792680306131409</v>
      </c>
      <c r="I13" s="1">
        <v>1.798544758108179</v>
      </c>
      <c r="J13" s="1">
        <v>2.4437139422593304</v>
      </c>
      <c r="K13" s="1">
        <v>1.1174707091011284</v>
      </c>
      <c r="L13" s="1">
        <v>0.73050553026065446</v>
      </c>
      <c r="M13" s="1">
        <v>2.0004790492655604</v>
      </c>
      <c r="N13" s="1">
        <v>0.70601777574332714</v>
      </c>
      <c r="O13" s="1">
        <v>1.1640482081631189</v>
      </c>
      <c r="P13" s="1">
        <v>-0.66413481473539193</v>
      </c>
      <c r="Q13" s="1">
        <v>1.5629609591816993</v>
      </c>
      <c r="R13" s="1">
        <v>1.8400616891342092</v>
      </c>
      <c r="S13" s="1">
        <v>1.9163733370506488</v>
      </c>
      <c r="T13" s="1">
        <v>0.5281447873708971</v>
      </c>
      <c r="U13" s="1">
        <v>-0.40514284687408592</v>
      </c>
      <c r="V13" s="1">
        <v>3.121202552491579</v>
      </c>
      <c r="W13" s="1">
        <v>0.44625528610442511</v>
      </c>
      <c r="X13" s="1">
        <v>0.77451105274001508</v>
      </c>
      <c r="Y13" s="1">
        <v>6.8730359251247097E-2</v>
      </c>
      <c r="Z13" s="1">
        <v>2.0127340920931305</v>
      </c>
      <c r="AA13" s="1">
        <v>0.33991918595391657</v>
      </c>
      <c r="AB13" s="1">
        <v>8.91119628789315E-2</v>
      </c>
      <c r="AC13" s="1">
        <v>-0.4949816036879795</v>
      </c>
      <c r="AD13" s="1">
        <v>0.44859610065854949</v>
      </c>
      <c r="AE13" s="1">
        <v>-0.35612936718148847</v>
      </c>
      <c r="AF13" s="1">
        <v>0.55272768372544845</v>
      </c>
      <c r="AG13" s="1">
        <v>1.6721577423485106</v>
      </c>
      <c r="AH13" s="1">
        <v>-0.19662882301192247</v>
      </c>
      <c r="AI13" s="1">
        <v>0.66055399961765748</v>
      </c>
      <c r="AJ13" s="1">
        <v>2.8285247068274506</v>
      </c>
      <c r="AK13" s="1">
        <v>1.2841550064658904</v>
      </c>
      <c r="AL13" s="2">
        <v>-1.0316846417290049</v>
      </c>
      <c r="AM13" s="2">
        <v>0.30993260201716122</v>
      </c>
      <c r="AN13" s="2">
        <v>-0.89733730510922771</v>
      </c>
      <c r="AO13" s="2">
        <v>0.20733219649833423</v>
      </c>
      <c r="AP13" s="2">
        <v>0.86331211477758418</v>
      </c>
      <c r="AQ13" s="2">
        <v>0.21503264329999022</v>
      </c>
      <c r="AR13" s="2">
        <v>1.6841997321984654</v>
      </c>
      <c r="AS13" s="2">
        <v>1.431990683286485</v>
      </c>
      <c r="AT13" s="2">
        <v>-6.7646490953732763E-2</v>
      </c>
      <c r="AU13" s="2">
        <v>0.62847090022166618</v>
      </c>
      <c r="AV13" s="2">
        <v>-1.2548919064498749</v>
      </c>
      <c r="AW13" s="2">
        <v>-6.3114944869779768E-2</v>
      </c>
      <c r="AX13" s="2">
        <v>1.6676478016845553</v>
      </c>
      <c r="AY13" s="2">
        <v>-0.34697296282094475</v>
      </c>
      <c r="AZ13" s="2">
        <v>-1.1399648430650546</v>
      </c>
      <c r="BA13" s="2">
        <v>1.5081647246524552</v>
      </c>
      <c r="BB13" s="2">
        <v>0.39997618861760725</v>
      </c>
      <c r="BC13" s="2">
        <v>1.0096202507377381</v>
      </c>
      <c r="BD13" s="2">
        <v>1.2053418496306585</v>
      </c>
      <c r="BE13" s="2">
        <v>2.0404915112113851</v>
      </c>
      <c r="BF13" s="2">
        <v>2.0825640506743084</v>
      </c>
      <c r="BG13" s="2">
        <v>-0.14921306833825676</v>
      </c>
      <c r="BH13" s="2">
        <v>-0.19210944904285077</v>
      </c>
      <c r="BI13" s="2">
        <v>-0.50578432437111076</v>
      </c>
      <c r="BJ13" s="2">
        <v>1.533930065342715</v>
      </c>
      <c r="BK13" s="2">
        <v>1.7512470992082352</v>
      </c>
      <c r="BL13" s="2">
        <v>-7.7008199394226762E-4</v>
      </c>
      <c r="BM13" s="2">
        <v>0.32167999336372621</v>
      </c>
      <c r="BN13" s="2">
        <v>0.37467830903289423</v>
      </c>
      <c r="BO13" s="2">
        <v>0.79872392530122927</v>
      </c>
      <c r="BP13" s="2">
        <v>0.64414050641407627</v>
      </c>
      <c r="BQ13" s="2">
        <v>-0.55761613113689279</v>
      </c>
      <c r="BR13" s="2">
        <v>0.54291695845664723</v>
      </c>
      <c r="BS13" s="2">
        <v>1.092800028381065</v>
      </c>
      <c r="BT13" s="2">
        <v>2.7659050913170851</v>
      </c>
      <c r="BU13" s="2">
        <v>2.0075605069388454</v>
      </c>
      <c r="BV13" s="2">
        <v>3.4513899960647949</v>
      </c>
      <c r="BW13" s="2">
        <v>3.0826467425821051</v>
      </c>
      <c r="BY13">
        <f t="shared" si="0"/>
        <v>0.8834837591321989</v>
      </c>
      <c r="BZ13">
        <f t="shared" si="1"/>
        <v>0.72143658742187211</v>
      </c>
      <c r="CA13">
        <f t="shared" si="2"/>
        <v>1.1188736841811282</v>
      </c>
      <c r="CB13">
        <f t="shared" si="3"/>
        <v>0.54875677816304158</v>
      </c>
      <c r="CC13">
        <f t="shared" si="4"/>
        <v>0.16204717171032693</v>
      </c>
      <c r="CD13">
        <f t="shared" si="5"/>
        <v>0.26062010237510486</v>
      </c>
      <c r="CE13" t="s">
        <v>49</v>
      </c>
      <c r="CH13" t="s">
        <v>57</v>
      </c>
      <c r="CI13">
        <v>-0.43668359401835694</v>
      </c>
      <c r="CJ13">
        <v>0.75474769107421724</v>
      </c>
    </row>
    <row r="14" spans="1:88" x14ac:dyDescent="0.2">
      <c r="A14" t="s">
        <v>50</v>
      </c>
      <c r="B14" s="1">
        <v>2.3906573153481241</v>
      </c>
      <c r="C14" s="1">
        <v>1.9043849694734041</v>
      </c>
      <c r="D14" s="1">
        <v>1.0523296744266639</v>
      </c>
      <c r="E14" s="1">
        <v>1.3202716453276842</v>
      </c>
      <c r="F14" s="1">
        <v>-1.6208358664053759</v>
      </c>
      <c r="G14" s="1">
        <v>-1.8997372748528258</v>
      </c>
      <c r="H14" s="1">
        <v>-1.2291910677966262</v>
      </c>
      <c r="I14" s="1">
        <v>0.45436149569926298</v>
      </c>
      <c r="J14" s="1">
        <v>0.11368834916673071</v>
      </c>
      <c r="K14" s="1">
        <v>-0.5779481436070053</v>
      </c>
      <c r="L14" s="1">
        <v>1.1564101716896447</v>
      </c>
      <c r="M14" s="1">
        <v>1.8401950400139917</v>
      </c>
      <c r="N14" s="1">
        <v>-0.45048158143766903</v>
      </c>
      <c r="O14" s="1">
        <v>-1.0400714656486358</v>
      </c>
      <c r="P14" s="1">
        <v>-1.2729798461797559</v>
      </c>
      <c r="Q14" s="1">
        <v>2.4942817631279941</v>
      </c>
      <c r="R14" s="1">
        <v>2.457948965096084</v>
      </c>
      <c r="S14" s="1">
        <v>-0.79240734735256602</v>
      </c>
      <c r="T14" s="1">
        <v>0.23159982458602946</v>
      </c>
      <c r="U14" s="1">
        <v>-1.2146607082468259</v>
      </c>
      <c r="V14" s="1">
        <v>2.492096256110794</v>
      </c>
      <c r="W14" s="1">
        <v>-1.8594043436622658</v>
      </c>
      <c r="X14" s="1">
        <v>-0.291118586556111</v>
      </c>
      <c r="Y14" s="1">
        <v>2.7100171150027541</v>
      </c>
      <c r="Z14" s="1">
        <v>1.2501501699336726E-2</v>
      </c>
      <c r="AA14" s="1">
        <v>-1.5848051944615793</v>
      </c>
      <c r="AB14" s="1">
        <v>-0.11047932593081927</v>
      </c>
      <c r="AC14" s="1">
        <v>-1.6254456207642582</v>
      </c>
      <c r="AD14" s="1">
        <v>-0.4860238451523553</v>
      </c>
      <c r="AE14" s="1">
        <v>-0.89552731709024824</v>
      </c>
      <c r="AF14" s="1">
        <v>-1.3987756948312784</v>
      </c>
      <c r="AG14" s="1">
        <v>-1.9878543677634981</v>
      </c>
      <c r="AH14" s="1">
        <v>-3.2073131651397302E-2</v>
      </c>
      <c r="AI14" s="1">
        <v>-0.67948477271337837</v>
      </c>
      <c r="AJ14" s="1">
        <v>1.0563074671958967</v>
      </c>
      <c r="AK14" s="1">
        <v>-0.88187665836634821</v>
      </c>
      <c r="AL14" s="2">
        <v>-1.6598433573161075</v>
      </c>
      <c r="AM14" s="2">
        <v>-2.1203450730245477</v>
      </c>
      <c r="AN14" s="2">
        <v>-1.7046284349822876</v>
      </c>
      <c r="AO14" s="2">
        <v>-1.0270611416636917</v>
      </c>
      <c r="AP14" s="2">
        <v>0.21815953350796735</v>
      </c>
      <c r="AQ14" s="2">
        <v>1.5316008821771623</v>
      </c>
      <c r="AR14" s="2">
        <v>2.5666805647524922</v>
      </c>
      <c r="AS14" s="2">
        <v>3.0964709338273622</v>
      </c>
      <c r="AT14" s="2">
        <v>-0.93177046745556769</v>
      </c>
      <c r="AU14" s="2">
        <v>-2.1375547909854573</v>
      </c>
      <c r="AV14" s="2">
        <v>-1.3461682657620857</v>
      </c>
      <c r="AW14" s="2">
        <v>-0.79598540775779258</v>
      </c>
      <c r="AX14" s="2">
        <v>-1.1199795568058717</v>
      </c>
      <c r="AY14" s="2">
        <v>-0.52127412806037665</v>
      </c>
      <c r="AZ14" s="2">
        <v>-1.7943604461480376</v>
      </c>
      <c r="BA14" s="2">
        <v>1.6615550068771325</v>
      </c>
      <c r="BB14" s="2">
        <v>-1.8066078921711477</v>
      </c>
      <c r="BC14" s="2">
        <v>0.36470882903884239</v>
      </c>
      <c r="BD14" s="2">
        <v>-2.7286937396075239E-2</v>
      </c>
      <c r="BE14" s="2">
        <v>1.0900089703558324</v>
      </c>
      <c r="BF14" s="2">
        <v>1.5666975827492395</v>
      </c>
      <c r="BG14" s="2">
        <v>-1.2363243864843116</v>
      </c>
      <c r="BH14" s="2">
        <v>-0.85619654099937359</v>
      </c>
      <c r="BI14" s="2">
        <v>-1.0661225007522837</v>
      </c>
      <c r="BJ14" s="2">
        <v>0.39436845984451141</v>
      </c>
      <c r="BK14" s="2">
        <v>-1.1383760405112575</v>
      </c>
      <c r="BL14" s="2" t="s">
        <v>67</v>
      </c>
      <c r="BM14" s="2">
        <v>-1.4685908561071177</v>
      </c>
      <c r="BN14" s="2">
        <v>0.37207764515091235</v>
      </c>
      <c r="BO14" s="2">
        <v>0.45523091941408433</v>
      </c>
      <c r="BP14" s="2">
        <v>-0.94434386514798463</v>
      </c>
      <c r="BQ14" s="2">
        <v>-1.7611674253130776</v>
      </c>
      <c r="BR14" s="2">
        <v>1.2905309738503123</v>
      </c>
      <c r="BS14" s="2">
        <v>2.4109884835267623</v>
      </c>
      <c r="BT14" s="2">
        <v>-0.33558411812604722</v>
      </c>
      <c r="BU14" s="2">
        <v>0.13819307821183036</v>
      </c>
      <c r="BV14" s="2">
        <v>0.61621177672841732</v>
      </c>
      <c r="BW14" s="2" t="s">
        <v>67</v>
      </c>
      <c r="BY14">
        <f t="shared" si="0"/>
        <v>-6.7814057362896706E-3</v>
      </c>
      <c r="BZ14">
        <f t="shared" si="1"/>
        <v>-0.22294688869326773</v>
      </c>
      <c r="CA14">
        <f t="shared" si="2"/>
        <v>1.1616419693169342</v>
      </c>
      <c r="CB14">
        <f t="shared" si="3"/>
        <v>0.52443669723390707</v>
      </c>
      <c r="CC14">
        <f t="shared" si="4"/>
        <v>0.21616548295697796</v>
      </c>
      <c r="CD14">
        <f t="shared" si="5"/>
        <v>0.28030692634776688</v>
      </c>
      <c r="CE14" t="s">
        <v>50</v>
      </c>
      <c r="CH14" t="s">
        <v>63</v>
      </c>
      <c r="CI14">
        <v>-0.30306380465402022</v>
      </c>
      <c r="CJ14">
        <v>0.70559529948090094</v>
      </c>
    </row>
    <row r="15" spans="1:88" x14ac:dyDescent="0.2">
      <c r="A15" t="s">
        <v>51</v>
      </c>
      <c r="B15" s="1">
        <v>-0.59471583803952721</v>
      </c>
      <c r="C15" s="1">
        <v>-0.97693875443788025</v>
      </c>
      <c r="D15" s="1">
        <v>-1.6904844765634501</v>
      </c>
      <c r="E15" s="1">
        <v>-1.3344010864840004</v>
      </c>
      <c r="F15" s="1">
        <v>-0.97913504619356018</v>
      </c>
      <c r="G15" s="1">
        <v>-1.0543265504919503</v>
      </c>
      <c r="H15" s="1">
        <v>-0.64253096555053735</v>
      </c>
      <c r="I15" s="1">
        <v>0.50247450003732963</v>
      </c>
      <c r="J15" s="1">
        <v>0.63632460506597532</v>
      </c>
      <c r="K15" s="1">
        <v>-1.1923556244501521</v>
      </c>
      <c r="L15" s="1">
        <v>-0.26034002362809966</v>
      </c>
      <c r="M15" s="1">
        <v>0.71771134845407136</v>
      </c>
      <c r="N15" s="1">
        <v>-1.3821616182830003</v>
      </c>
      <c r="O15" s="1">
        <v>-0.1508778386118913</v>
      </c>
      <c r="P15" s="1">
        <v>-0.10613106049205134</v>
      </c>
      <c r="Q15" s="1">
        <v>0.85776389555562771</v>
      </c>
      <c r="R15" s="1">
        <v>2.7116460416507495</v>
      </c>
      <c r="S15" s="1">
        <v>-0.84185256577454037</v>
      </c>
      <c r="T15" s="1">
        <v>0.81510590484405765</v>
      </c>
      <c r="U15" s="1">
        <v>-0.71694406939271027</v>
      </c>
      <c r="V15" s="1">
        <v>1.1086208044013888</v>
      </c>
      <c r="W15" s="1">
        <v>-0.97209365959143024</v>
      </c>
      <c r="X15" s="1">
        <v>2.6793605006672196</v>
      </c>
      <c r="Y15" s="1">
        <v>-2.0194454535001203</v>
      </c>
      <c r="Z15" s="1">
        <v>0.83356286030473936</v>
      </c>
      <c r="AA15" s="1">
        <v>-0.35639435708195244</v>
      </c>
      <c r="AB15" s="1">
        <v>-0.15519747108748366</v>
      </c>
      <c r="AC15" s="1">
        <v>-0.47629672437699971</v>
      </c>
      <c r="AD15" s="1">
        <v>7.3082514173550328E-2</v>
      </c>
      <c r="AE15" s="1">
        <v>-1.0257888623169278</v>
      </c>
      <c r="AF15" s="1">
        <v>-0.76205202102305769</v>
      </c>
      <c r="AG15" s="1">
        <v>-0.95455895092928778</v>
      </c>
      <c r="AH15" s="1">
        <v>0.57930118329377334</v>
      </c>
      <c r="AI15" s="1">
        <v>-0.72009846078723561</v>
      </c>
      <c r="AJ15" s="1">
        <v>0.29895185855850115</v>
      </c>
      <c r="AK15" s="1">
        <v>-0.11337961579053069</v>
      </c>
      <c r="AL15" s="2">
        <v>-0.71292073148454971</v>
      </c>
      <c r="AM15" s="2">
        <v>-1.4878653075285806</v>
      </c>
      <c r="AN15" s="2">
        <v>-1.6319744294095906</v>
      </c>
      <c r="AO15" s="2">
        <v>-0.98744240479753564</v>
      </c>
      <c r="AP15" s="2">
        <v>-0.32741542201494866</v>
      </c>
      <c r="AQ15" s="2">
        <v>-0.28564561209774536</v>
      </c>
      <c r="AR15" s="2">
        <v>-0.13550463385850348</v>
      </c>
      <c r="AS15" s="2">
        <v>-0.36906809074296365</v>
      </c>
      <c r="AT15" s="2">
        <v>-0.25350114487306108</v>
      </c>
      <c r="AU15" s="2">
        <v>0.22279608313125032</v>
      </c>
      <c r="AV15" s="2">
        <v>-0.91349113586136865</v>
      </c>
      <c r="AW15" s="2">
        <v>-1.4909313341198906</v>
      </c>
      <c r="AX15" s="2">
        <v>-1.6463253210811608</v>
      </c>
      <c r="AY15" s="2">
        <v>-1.1016839062782506</v>
      </c>
      <c r="AZ15" s="2">
        <v>-2.1138522577329306</v>
      </c>
      <c r="BA15" s="2">
        <v>-0.9645061943640757</v>
      </c>
      <c r="BB15" s="2">
        <v>-2.0121755182990908</v>
      </c>
      <c r="BC15" s="2">
        <v>-1.0878379440770947</v>
      </c>
      <c r="BD15" s="2">
        <v>-0.53554473797511548</v>
      </c>
      <c r="BE15" s="2">
        <v>0.38638290986554336</v>
      </c>
      <c r="BF15" s="2">
        <v>9.6107872028318608E-2</v>
      </c>
      <c r="BG15" s="2">
        <v>-0.66422835806771063</v>
      </c>
      <c r="BH15" s="2">
        <v>0.29378871218557634</v>
      </c>
      <c r="BI15" s="2">
        <v>-1.1706636219186617</v>
      </c>
      <c r="BJ15" s="2">
        <v>0.59596507053754133</v>
      </c>
      <c r="BK15" s="2">
        <v>-1.2900323395405109</v>
      </c>
      <c r="BL15" s="2">
        <v>-3.775389561603168E-2</v>
      </c>
      <c r="BM15" s="2">
        <v>-1.4267044199185208</v>
      </c>
      <c r="BN15" s="2">
        <v>0.40830254208610928</v>
      </c>
      <c r="BO15" s="2">
        <v>1.3445792056915895</v>
      </c>
      <c r="BP15" s="2">
        <v>-0.62442880707102666</v>
      </c>
      <c r="BQ15" s="2">
        <v>-0.36597736229833766</v>
      </c>
      <c r="BR15" s="2">
        <v>0.3542746293837743</v>
      </c>
      <c r="BS15" s="2">
        <v>1.9657938704932321E-2</v>
      </c>
      <c r="BT15" s="2">
        <v>2.1104548488815493</v>
      </c>
      <c r="BU15" s="2">
        <v>2.1684940992896595</v>
      </c>
      <c r="BV15" s="2">
        <v>1.2413799280832292</v>
      </c>
      <c r="BW15" s="2">
        <v>1.6786538877105794</v>
      </c>
      <c r="BY15">
        <f t="shared" si="0"/>
        <v>-0.21290541882976094</v>
      </c>
      <c r="BZ15">
        <f t="shared" si="1"/>
        <v>-0.33464834745914734</v>
      </c>
      <c r="CA15">
        <f t="shared" si="2"/>
        <v>1.0880485468801708</v>
      </c>
      <c r="CB15">
        <f t="shared" si="3"/>
        <v>0.6253785486238792</v>
      </c>
      <c r="CC15">
        <f t="shared" si="4"/>
        <v>0.12174292862938639</v>
      </c>
      <c r="CD15">
        <f t="shared" si="5"/>
        <v>0.20385701975771039</v>
      </c>
      <c r="CE15" t="s">
        <v>51</v>
      </c>
      <c r="CH15" t="s">
        <v>75</v>
      </c>
      <c r="CI15">
        <v>0.22541669344945972</v>
      </c>
      <c r="CJ15">
        <v>0.66074485123428095</v>
      </c>
    </row>
    <row r="16" spans="1:88" x14ac:dyDescent="0.2">
      <c r="A16" t="s">
        <v>52</v>
      </c>
      <c r="B16" s="1">
        <v>-1.5901703889365832</v>
      </c>
      <c r="C16" s="1">
        <v>-1.6385988717449154</v>
      </c>
      <c r="D16" s="1">
        <v>0.15370503459060481</v>
      </c>
      <c r="E16" s="1">
        <v>0.6398348580532417</v>
      </c>
      <c r="F16" s="1">
        <v>-0.8388563120983703</v>
      </c>
      <c r="G16" s="1">
        <v>0.66658092615734177</v>
      </c>
      <c r="H16" s="1">
        <v>1.9352228649630421</v>
      </c>
      <c r="I16" s="1">
        <v>0.61268936103251181</v>
      </c>
      <c r="J16" s="1">
        <v>-9.9261667571989287E-2</v>
      </c>
      <c r="K16" s="1">
        <v>-6.4097238694802161E-2</v>
      </c>
      <c r="L16" s="1">
        <v>-3.5884090688472314E-2</v>
      </c>
      <c r="M16" s="1">
        <v>-0.18460409515939624</v>
      </c>
      <c r="N16" s="1">
        <v>-0.11556075743817829</v>
      </c>
      <c r="O16" s="1">
        <v>-1.1092466402077363</v>
      </c>
      <c r="P16" s="1">
        <v>1.451381280626082</v>
      </c>
      <c r="Q16" s="1">
        <v>1.1976087170075815</v>
      </c>
      <c r="R16" s="1">
        <v>1.9000640049694018</v>
      </c>
      <c r="S16" s="1">
        <v>1.431555290997002</v>
      </c>
      <c r="T16" s="1">
        <v>-0.23562342621334026</v>
      </c>
      <c r="U16" s="1">
        <v>-0.31417713083267323</v>
      </c>
      <c r="V16" s="1">
        <v>0.32993537889629165</v>
      </c>
      <c r="W16" s="1">
        <v>1.5905831312648919</v>
      </c>
      <c r="X16" s="1">
        <v>1.6432714446735774E-2</v>
      </c>
      <c r="Y16" s="1">
        <v>-0.38230683872703625</v>
      </c>
      <c r="Z16" s="1">
        <v>0.63965853363981495</v>
      </c>
      <c r="AA16" s="1">
        <v>1.240954421826886</v>
      </c>
      <c r="AB16" s="1">
        <v>-0.45626712633353328</v>
      </c>
      <c r="AC16" s="1">
        <v>-0.50620289391280326</v>
      </c>
      <c r="AD16" s="1">
        <v>0.72177068073636375</v>
      </c>
      <c r="AE16" s="1">
        <v>-0.91170844926378336</v>
      </c>
      <c r="AF16" s="1">
        <v>-0.6659936123109832</v>
      </c>
      <c r="AG16" s="1">
        <v>-5.3046818194834255E-2</v>
      </c>
      <c r="AH16" s="1">
        <v>-0.33419309738373126</v>
      </c>
      <c r="AI16" s="1">
        <v>-0.25441574616177531</v>
      </c>
      <c r="AJ16" s="1">
        <v>-1.2789994676414231</v>
      </c>
      <c r="AK16" s="1">
        <v>-1.5352877932672633</v>
      </c>
      <c r="AL16" s="2">
        <v>-1.0030943943010067</v>
      </c>
      <c r="AM16" s="2">
        <v>1.3455657771795733</v>
      </c>
      <c r="AN16" s="2">
        <v>-1.0011091516096067</v>
      </c>
      <c r="AO16" s="2">
        <v>-0.46248835573024671</v>
      </c>
      <c r="AP16" s="2">
        <v>0.67237273062001224</v>
      </c>
      <c r="AQ16" s="2">
        <v>0.13940701796846428</v>
      </c>
      <c r="AR16" s="2">
        <v>0.29488271600260996</v>
      </c>
      <c r="AS16" s="2">
        <v>1.6093867971199733</v>
      </c>
      <c r="AT16" s="2">
        <v>0.52845083665371229</v>
      </c>
      <c r="AU16" s="2">
        <v>0.80722086327607423</v>
      </c>
      <c r="AV16" s="2">
        <v>-8.0246933281139743E-2</v>
      </c>
      <c r="AW16" s="2">
        <v>-1.1859423457604767</v>
      </c>
      <c r="AX16" s="2">
        <v>4.1365886327439032</v>
      </c>
      <c r="AY16" s="2">
        <v>0.90907024648681722</v>
      </c>
      <c r="AZ16" s="2">
        <v>-1.5480526651861568</v>
      </c>
      <c r="BA16" s="2">
        <v>0.1546005838484823</v>
      </c>
      <c r="BB16" s="2">
        <v>-0.83625322368147681</v>
      </c>
      <c r="BC16" s="2">
        <v>1.2083230966361269E-2</v>
      </c>
      <c r="BD16" s="2">
        <v>-0.17175622439120897</v>
      </c>
      <c r="BE16" s="2">
        <v>-0.11562750720792569</v>
      </c>
      <c r="BF16" s="2">
        <v>-0.42277188175659497</v>
      </c>
      <c r="BG16" s="2">
        <v>-1.0905256378589467</v>
      </c>
      <c r="BH16" s="2">
        <v>-0.29456337921596476</v>
      </c>
      <c r="BI16" s="2">
        <v>-0.90894704428402662</v>
      </c>
      <c r="BJ16" s="2">
        <v>2.3216279942486233</v>
      </c>
      <c r="BK16" s="2">
        <v>-0.9070479743337867</v>
      </c>
      <c r="BL16" s="2">
        <v>-0.76433388832235671</v>
      </c>
      <c r="BM16" s="2">
        <v>-0.7418049690840367</v>
      </c>
      <c r="BN16" s="2">
        <v>0.66312167913099029</v>
      </c>
      <c r="BO16" s="2">
        <v>0.40981012011571327</v>
      </c>
      <c r="BP16" s="2">
        <v>-0.24901564745344273</v>
      </c>
      <c r="BQ16" s="2">
        <v>-0.48108405790781572</v>
      </c>
      <c r="BR16" s="2">
        <v>0.12770230342145827</v>
      </c>
      <c r="BS16" s="2">
        <v>0.35565592103987875</v>
      </c>
      <c r="BT16" s="2">
        <v>0.15263233802761528</v>
      </c>
      <c r="BU16" s="2">
        <v>-4.130147719585775E-2</v>
      </c>
      <c r="BV16" s="2">
        <v>-6.2319845984623701E-2</v>
      </c>
      <c r="BW16" s="2">
        <v>-0.11687036392337674</v>
      </c>
      <c r="BY16">
        <f t="shared" si="0"/>
        <v>5.342985378956025E-2</v>
      </c>
      <c r="BZ16">
        <f t="shared" si="1"/>
        <v>5.6711126852110223E-2</v>
      </c>
      <c r="CA16">
        <f t="shared" si="2"/>
        <v>0.99772817932771818</v>
      </c>
      <c r="CB16">
        <f t="shared" si="3"/>
        <v>0.98889677337883908</v>
      </c>
      <c r="CC16">
        <f t="shared" si="4"/>
        <v>-3.2812730625499625E-3</v>
      </c>
      <c r="CD16">
        <f t="shared" si="5"/>
        <v>4.8490401436877629E-3</v>
      </c>
      <c r="CE16" t="s">
        <v>52</v>
      </c>
      <c r="CH16" t="s">
        <v>120</v>
      </c>
      <c r="CI16">
        <v>0.27198958744974377</v>
      </c>
      <c r="CJ16">
        <v>0.65818978886536783</v>
      </c>
    </row>
    <row r="17" spans="1:88" x14ac:dyDescent="0.2">
      <c r="A17" t="s">
        <v>53</v>
      </c>
      <c r="B17" s="1">
        <v>-2.1713603270198947</v>
      </c>
      <c r="C17" s="1">
        <v>-2.1213883639350146</v>
      </c>
      <c r="D17" s="1">
        <v>-2.0226665861431625</v>
      </c>
      <c r="E17" s="1">
        <v>-0.93441545464941911</v>
      </c>
      <c r="F17" s="1">
        <v>-1.0830714854602947</v>
      </c>
      <c r="G17" s="1">
        <v>1.2337204294753654</v>
      </c>
      <c r="H17" s="1">
        <v>2.1755401999049955</v>
      </c>
      <c r="I17" s="1">
        <v>1.1666728089577751</v>
      </c>
      <c r="J17" s="1">
        <v>-2.8994268910361543</v>
      </c>
      <c r="K17" s="1">
        <v>-2.7137358203857698</v>
      </c>
      <c r="L17" s="1">
        <v>-2.7181004171515948</v>
      </c>
      <c r="M17" s="1">
        <v>-1.1476639298510745</v>
      </c>
      <c r="N17" s="1">
        <v>-2.4773031424904746</v>
      </c>
      <c r="O17" s="1">
        <v>-2.9745588710062849</v>
      </c>
      <c r="P17" s="1">
        <v>-2.2245451392770748</v>
      </c>
      <c r="Q17" s="1">
        <v>-2.1024425561944549</v>
      </c>
      <c r="R17" s="1">
        <v>-1.6874609349114047</v>
      </c>
      <c r="S17" s="1">
        <v>-1.2817681711710467</v>
      </c>
      <c r="T17" s="1">
        <v>-2.2711388307975646</v>
      </c>
      <c r="U17" s="1">
        <v>-2.1045767402830045</v>
      </c>
      <c r="V17" s="1">
        <v>0.23895052012813545</v>
      </c>
      <c r="W17" s="1">
        <v>-0.69759292371028558</v>
      </c>
      <c r="X17" s="1">
        <v>-2.6611574052927747</v>
      </c>
      <c r="Y17" s="1">
        <v>-2.8459496216410947</v>
      </c>
      <c r="Z17" s="1">
        <v>-1.2372336381296845</v>
      </c>
      <c r="AA17" s="1">
        <v>-1.8141380297372092</v>
      </c>
      <c r="AB17" s="1">
        <v>-2.3103938688314241</v>
      </c>
      <c r="AC17" s="1">
        <v>-2.3064906365060347</v>
      </c>
      <c r="AD17" s="1">
        <v>-1.4241741700004245</v>
      </c>
      <c r="AE17" s="1">
        <v>-2.8684556258907445</v>
      </c>
      <c r="AF17" s="1">
        <v>-2.604216557738944</v>
      </c>
      <c r="AG17" s="1">
        <v>-2.6850552456327641</v>
      </c>
      <c r="AH17" s="1">
        <v>-2.5324971825556348</v>
      </c>
      <c r="AI17" s="1">
        <v>-2.2633422535689443</v>
      </c>
      <c r="AJ17" s="1">
        <v>-3.7643594941215444</v>
      </c>
      <c r="AK17" s="1">
        <v>-2.1320136253189341</v>
      </c>
      <c r="AL17" s="2">
        <v>-2.2026234503658548</v>
      </c>
      <c r="AM17" s="2">
        <v>-0.32754460533794549</v>
      </c>
      <c r="AN17" s="2">
        <v>-1.6140559543534543</v>
      </c>
      <c r="AO17" s="2">
        <v>-2.8881708272042248</v>
      </c>
      <c r="AP17" s="2">
        <v>-1.4094410068347845</v>
      </c>
      <c r="AQ17" s="2">
        <v>-1.7063899528827544</v>
      </c>
      <c r="AR17" s="2">
        <v>-1.8083937222458546</v>
      </c>
      <c r="AS17" s="2">
        <v>-1.5999322936878444</v>
      </c>
      <c r="AT17" s="2">
        <v>-1.0799820246704745</v>
      </c>
      <c r="AU17" s="2">
        <v>-1.6296012321480247</v>
      </c>
      <c r="AV17" s="2">
        <v>-2.007605433839144</v>
      </c>
      <c r="AW17" s="2">
        <v>-3.1283713520142848</v>
      </c>
      <c r="AX17" s="2">
        <v>0.16230220063758555</v>
      </c>
      <c r="AY17" s="2">
        <v>-2.623083212783154</v>
      </c>
      <c r="AZ17" s="2">
        <v>-2.5960733358472146</v>
      </c>
      <c r="BA17" s="2">
        <v>-2.4639855276982541</v>
      </c>
      <c r="BB17" s="2">
        <v>-3.1680477982883648</v>
      </c>
      <c r="BC17" s="2">
        <v>-2.5559993054907144</v>
      </c>
      <c r="BD17" s="2">
        <v>-1.3254288103383793</v>
      </c>
      <c r="BE17" s="2">
        <v>-1.6622569463547043</v>
      </c>
      <c r="BF17" s="2">
        <v>-2.7373721901815093</v>
      </c>
      <c r="BG17" s="2">
        <v>-2.6458576851928344</v>
      </c>
      <c r="BH17" s="2">
        <v>-2.7441223773738148</v>
      </c>
      <c r="BI17" s="2">
        <v>-3.7561437555006245</v>
      </c>
      <c r="BJ17" s="2">
        <v>-2.0665082353158946</v>
      </c>
      <c r="BK17" s="2">
        <v>-3.1054187956091246</v>
      </c>
      <c r="BL17" s="2">
        <v>-3.1917951648804843</v>
      </c>
      <c r="BM17" s="2">
        <v>-3.2242209181192543</v>
      </c>
      <c r="BN17" s="2">
        <v>-1.2055759937580444</v>
      </c>
      <c r="BO17" s="2">
        <v>-1.2619314127004244</v>
      </c>
      <c r="BP17" s="2">
        <v>-1.8365297563021545</v>
      </c>
      <c r="BQ17" s="2">
        <v>-1.9240437543746343</v>
      </c>
      <c r="BR17" s="2">
        <v>-1.8345357436473246</v>
      </c>
      <c r="BS17" s="2">
        <v>-1.1338342404891744</v>
      </c>
      <c r="BT17" s="2">
        <v>-2.0168920656236748</v>
      </c>
      <c r="BU17" s="2">
        <v>-1.7318064973792746</v>
      </c>
      <c r="BV17" s="2">
        <v>-1.2887992023784345</v>
      </c>
      <c r="BW17" s="2">
        <v>-1.4295093061237245</v>
      </c>
      <c r="BY17">
        <f t="shared" si="0"/>
        <v>-1.7852169439437187</v>
      </c>
      <c r="BZ17">
        <f t="shared" si="1"/>
        <v>-2.0202521496499539</v>
      </c>
      <c r="CA17">
        <f t="shared" si="2"/>
        <v>1.1769354573136148</v>
      </c>
      <c r="CB17">
        <f t="shared" si="3"/>
        <v>0.35554045770889731</v>
      </c>
      <c r="CC17">
        <f t="shared" si="4"/>
        <v>0.23503520570623521</v>
      </c>
      <c r="CD17">
        <f t="shared" si="5"/>
        <v>0.44911097282453594</v>
      </c>
      <c r="CE17" t="s">
        <v>53</v>
      </c>
      <c r="CH17" t="s">
        <v>87</v>
      </c>
      <c r="CI17">
        <v>-0.25639399021731973</v>
      </c>
      <c r="CJ17">
        <v>0.6380545814719828</v>
      </c>
    </row>
    <row r="18" spans="1:88" x14ac:dyDescent="0.2">
      <c r="A18" t="s">
        <v>54</v>
      </c>
      <c r="B18" s="1">
        <v>0.46948725915648976</v>
      </c>
      <c r="C18" s="1">
        <v>-0.22250130841070892</v>
      </c>
      <c r="D18" s="1">
        <v>0.7274354088161441</v>
      </c>
      <c r="E18" s="1">
        <v>-0.10515506604620095</v>
      </c>
      <c r="F18" s="1">
        <v>0.18199963731652608</v>
      </c>
      <c r="G18" s="1">
        <v>-1.2155847588427857</v>
      </c>
      <c r="H18" s="1">
        <v>-1.766059675027376</v>
      </c>
      <c r="I18" s="1">
        <v>0.49063497331945877</v>
      </c>
      <c r="J18" s="1">
        <v>-1.6661483828382297</v>
      </c>
      <c r="K18" s="1">
        <v>-0.4948378604785888</v>
      </c>
      <c r="L18" s="1">
        <v>4.6346171081016303</v>
      </c>
      <c r="M18" s="1">
        <v>-0.76963302397071987</v>
      </c>
      <c r="N18" s="1">
        <v>-1.8466673057921561</v>
      </c>
      <c r="O18" s="1">
        <v>-0.80044862239582593</v>
      </c>
      <c r="P18" s="1">
        <v>0.92406116049221609</v>
      </c>
      <c r="Q18" s="1">
        <v>2.2312192251368441</v>
      </c>
      <c r="R18" s="1">
        <v>1.946096141385254</v>
      </c>
      <c r="S18" s="1">
        <v>0.50777556261851309</v>
      </c>
      <c r="T18" s="1">
        <v>-0.54498302659779585</v>
      </c>
      <c r="U18" s="1">
        <v>-0.40149922275877792</v>
      </c>
      <c r="V18" s="1">
        <v>0.27530193072501408</v>
      </c>
      <c r="W18" s="1">
        <v>0.29248568442058309</v>
      </c>
      <c r="X18" s="1">
        <v>2.614863320628614</v>
      </c>
      <c r="Y18" s="1">
        <v>3.4464292090855038</v>
      </c>
      <c r="Z18" s="1">
        <v>-0.52382189606429985</v>
      </c>
      <c r="AA18" s="1">
        <v>-1.2775771382905787</v>
      </c>
      <c r="AB18" s="1">
        <v>-0.54500145884556483</v>
      </c>
      <c r="AC18" s="1">
        <v>3.250267035062436E-2</v>
      </c>
      <c r="AD18" s="1">
        <v>1.7688803868867202</v>
      </c>
      <c r="AE18" s="1">
        <v>1.3684532284059303</v>
      </c>
      <c r="AF18" s="1">
        <v>1.02677865770828</v>
      </c>
      <c r="AG18" s="1">
        <v>-1.65303921244185</v>
      </c>
      <c r="AH18" s="1">
        <v>-0.29910659374750881</v>
      </c>
      <c r="AI18" s="1">
        <v>1.1566576888420501</v>
      </c>
      <c r="AJ18" s="1">
        <v>-1.1172033683771998</v>
      </c>
      <c r="AK18" s="1">
        <v>2.9700262025078499</v>
      </c>
      <c r="AL18" s="2">
        <v>-1.0421913991690204</v>
      </c>
      <c r="AM18" s="2">
        <v>4.78000644386315</v>
      </c>
      <c r="AN18" s="2">
        <v>-4.8336526246728684E-2</v>
      </c>
      <c r="AO18" s="2">
        <v>-0.58335807372498927</v>
      </c>
      <c r="AP18" s="2">
        <v>-1.5556121355636984E-2</v>
      </c>
      <c r="AQ18" s="2">
        <v>0.70787778080264474</v>
      </c>
      <c r="AR18" s="2">
        <v>0.41753468524175774</v>
      </c>
      <c r="AS18" s="2">
        <v>0.93722257638591167</v>
      </c>
      <c r="AT18" s="2">
        <v>-6.3107108726575281E-2</v>
      </c>
      <c r="AU18" s="2">
        <v>0.98876327609467973</v>
      </c>
      <c r="AV18" s="2">
        <v>-0.11866364199590929</v>
      </c>
      <c r="AW18" s="2">
        <v>1.3146577611821297</v>
      </c>
      <c r="AX18" s="2">
        <v>3.23191153445388</v>
      </c>
      <c r="AY18" s="2">
        <v>0.46971286010960672</v>
      </c>
      <c r="AZ18" s="2">
        <v>0.93840107499543568</v>
      </c>
      <c r="BA18" s="2">
        <v>-1.0814997285499204</v>
      </c>
      <c r="BB18" s="2">
        <v>0.54902721308130076</v>
      </c>
      <c r="BC18" s="2">
        <v>1.4881468047061497</v>
      </c>
      <c r="BD18" s="2">
        <v>2.3040149946282513</v>
      </c>
      <c r="BE18" s="2">
        <v>-0.2275130745220233</v>
      </c>
      <c r="BF18" s="2">
        <v>2.6207849191705712</v>
      </c>
      <c r="BG18" s="2">
        <v>-0.73647671433712225</v>
      </c>
      <c r="BH18" s="2">
        <v>-0.58908503676969826</v>
      </c>
      <c r="BI18" s="2">
        <v>0.20281557904416472</v>
      </c>
      <c r="BJ18" s="2">
        <v>0.9245994284518837</v>
      </c>
      <c r="BK18" s="2">
        <v>-1.8228452328476501</v>
      </c>
      <c r="BL18" s="2">
        <v>-0.87689772833493329</v>
      </c>
      <c r="BM18" s="2">
        <v>-0.58186387368613124</v>
      </c>
      <c r="BN18" s="2">
        <v>-0.2966450447420203</v>
      </c>
      <c r="BO18" s="2">
        <v>0.69618418335344368</v>
      </c>
      <c r="BP18" s="2">
        <v>-0.47017957154050727</v>
      </c>
      <c r="BQ18" s="2">
        <v>-0.71520680267546033</v>
      </c>
      <c r="BR18" s="2">
        <v>1.2897028512451096</v>
      </c>
      <c r="BS18" s="2">
        <v>1.2697846661901098</v>
      </c>
      <c r="BT18" s="2">
        <v>2.9519165056166599</v>
      </c>
      <c r="BU18" s="2">
        <v>3.3697444488447896</v>
      </c>
      <c r="BV18" s="2">
        <v>1.5607132747524797</v>
      </c>
      <c r="BW18" s="2">
        <v>0.94542570765971667</v>
      </c>
      <c r="BY18">
        <f t="shared" si="0"/>
        <v>0.32823437597161331</v>
      </c>
      <c r="BZ18">
        <f t="shared" si="1"/>
        <v>0.64972428659603942</v>
      </c>
      <c r="CA18">
        <f t="shared" si="2"/>
        <v>0.80024301785271057</v>
      </c>
      <c r="CB18">
        <f t="shared" si="3"/>
        <v>0.35321527479594517</v>
      </c>
      <c r="CC18">
        <f t="shared" si="4"/>
        <v>-0.32148991062442622</v>
      </c>
      <c r="CD18">
        <f t="shared" si="5"/>
        <v>0.45196052362178885</v>
      </c>
      <c r="CE18" t="s">
        <v>54</v>
      </c>
      <c r="CH18" t="s">
        <v>55</v>
      </c>
      <c r="CI18">
        <v>-0.45695496312187567</v>
      </c>
      <c r="CJ18">
        <v>0.61877709321110552</v>
      </c>
    </row>
    <row r="19" spans="1:88" x14ac:dyDescent="0.2">
      <c r="A19" t="s">
        <v>55</v>
      </c>
      <c r="B19" s="1">
        <v>3.0404208236726054</v>
      </c>
      <c r="C19" s="1">
        <v>0.8146996475401852</v>
      </c>
      <c r="D19" s="1">
        <v>-2.6821829908866932E-2</v>
      </c>
      <c r="E19" s="1">
        <v>-0.10655164752400884</v>
      </c>
      <c r="F19" s="1">
        <v>-0.55486354633797774</v>
      </c>
      <c r="G19" s="1">
        <v>-0.38385834869241475</v>
      </c>
      <c r="H19" s="1">
        <v>-1.1996396618820246</v>
      </c>
      <c r="I19" s="1">
        <v>-0.69467694545313274</v>
      </c>
      <c r="J19" s="1">
        <v>-1.5266400389488282</v>
      </c>
      <c r="K19" s="1">
        <v>1.0691870990784509</v>
      </c>
      <c r="L19" s="1">
        <v>-0.19978780363396031</v>
      </c>
      <c r="M19" s="1">
        <v>-0.62822124577728822</v>
      </c>
      <c r="N19" s="1">
        <v>-1.3501244844077847</v>
      </c>
      <c r="O19" s="1">
        <v>-0.27405320305635472</v>
      </c>
      <c r="P19" s="1">
        <v>0.43066109155408527</v>
      </c>
      <c r="Q19" s="1">
        <v>1.9520452161180553</v>
      </c>
      <c r="R19" s="1">
        <v>1.0077747914050654</v>
      </c>
      <c r="S19" s="1">
        <v>7.9354872597732259E-2</v>
      </c>
      <c r="T19" s="1">
        <v>2.0346967475260866E-2</v>
      </c>
      <c r="U19" s="1">
        <v>0.7551862511618832</v>
      </c>
      <c r="V19" s="1">
        <v>-9.840465951439234E-2</v>
      </c>
      <c r="W19" s="1">
        <v>1.0068077772352553</v>
      </c>
      <c r="X19" s="1">
        <v>0.79895497850381025</v>
      </c>
      <c r="Y19" s="1">
        <v>0.8388644415697043</v>
      </c>
      <c r="Z19" s="1">
        <v>-0.52275316039159725</v>
      </c>
      <c r="AA19" s="1">
        <v>-1.2013991125583883</v>
      </c>
      <c r="AB19" s="1">
        <v>-1.0026826536805282</v>
      </c>
      <c r="AC19" s="1">
        <v>-1.0865366096653082</v>
      </c>
      <c r="AD19" s="1">
        <v>2.5339160001719616</v>
      </c>
      <c r="AE19" s="1">
        <v>-0.69406217915165835</v>
      </c>
      <c r="AF19" s="1">
        <v>-0.65094846864860922</v>
      </c>
      <c r="AG19" s="1">
        <v>-1.5678836547365882</v>
      </c>
      <c r="AH19" s="1">
        <v>-0.63392922577137423</v>
      </c>
      <c r="AI19" s="1">
        <v>-3.9294822984521249E-2</v>
      </c>
      <c r="AJ19" s="1">
        <v>-1.1925083744007283</v>
      </c>
      <c r="AK19" s="1">
        <v>-1.1879425855287082</v>
      </c>
      <c r="AL19" s="2">
        <v>-2.2680713443606924</v>
      </c>
      <c r="AM19" s="2">
        <v>1.4746140415851774</v>
      </c>
      <c r="AN19" s="2">
        <v>-2.2211021543159926</v>
      </c>
      <c r="AO19" s="2">
        <v>-2.0603180377431425</v>
      </c>
      <c r="AP19" s="2">
        <v>-0.97573124852587256</v>
      </c>
      <c r="AQ19" s="2">
        <v>-0.57503464891079359</v>
      </c>
      <c r="AR19" s="2">
        <v>4.6144943595692323E-2</v>
      </c>
      <c r="AS19" s="2">
        <v>1.5061614821398774</v>
      </c>
      <c r="AT19" s="2">
        <v>-2.6290672469448126</v>
      </c>
      <c r="AU19" s="2">
        <v>-0.33763687891463762</v>
      </c>
      <c r="AV19" s="2">
        <v>-1.7269844961896026</v>
      </c>
      <c r="AW19" s="2">
        <v>-2.7851670647288422</v>
      </c>
      <c r="AX19" s="2">
        <v>1.5342282709556574</v>
      </c>
      <c r="AY19" s="2">
        <v>1.9767598556323873</v>
      </c>
      <c r="AZ19" s="2">
        <v>0.48719714284020843</v>
      </c>
      <c r="BA19" s="2">
        <v>0.76565370004514444</v>
      </c>
      <c r="BB19" s="2">
        <v>3.8868819384564475</v>
      </c>
      <c r="BC19" s="2">
        <v>2.1151839454154278</v>
      </c>
      <c r="BD19" s="2">
        <v>0.7263058860233309</v>
      </c>
      <c r="BE19" s="2">
        <v>0.37149158695926143</v>
      </c>
      <c r="BF19" s="2">
        <v>0.27703822727468075</v>
      </c>
      <c r="BG19" s="2">
        <v>-2.3035515810682123</v>
      </c>
      <c r="BH19" s="2">
        <v>-1.3520105606132227</v>
      </c>
      <c r="BI19" s="2">
        <v>0.85603885473090446</v>
      </c>
      <c r="BJ19" s="2">
        <v>4.9136145284175967</v>
      </c>
      <c r="BK19" s="2">
        <v>-1.1429945778754727</v>
      </c>
      <c r="BL19" s="2">
        <v>-0.8416001105648635</v>
      </c>
      <c r="BM19" s="2">
        <v>0.43841786111191738</v>
      </c>
      <c r="BN19" s="2">
        <v>-0.85772302626662855</v>
      </c>
      <c r="BO19" s="2">
        <v>-0.62666971413353056</v>
      </c>
      <c r="BP19" s="2">
        <v>3.6857366111369076</v>
      </c>
      <c r="BQ19" s="2">
        <v>2.4496323278467775</v>
      </c>
      <c r="BR19" s="2">
        <v>4.7331034923357675</v>
      </c>
      <c r="BS19" s="2">
        <v>3.8076344377737077</v>
      </c>
      <c r="BT19" s="2">
        <v>-1.4485208453565726</v>
      </c>
      <c r="BU19" s="2">
        <v>-0.62894226860614955</v>
      </c>
      <c r="BV19" s="2">
        <v>2.4737200665658974</v>
      </c>
      <c r="BW19" s="2">
        <v>1.0069706591937324</v>
      </c>
      <c r="BY19">
        <f t="shared" si="0"/>
        <v>-6.8760119571416381E-2</v>
      </c>
      <c r="BZ19">
        <f t="shared" si="1"/>
        <v>0.38819484355045952</v>
      </c>
      <c r="CA19">
        <f t="shared" si="2"/>
        <v>0.72852229900948473</v>
      </c>
      <c r="CB19">
        <f t="shared" si="3"/>
        <v>0.24055971844580221</v>
      </c>
      <c r="CC19">
        <f t="shared" si="4"/>
        <v>-0.45695496312187567</v>
      </c>
      <c r="CD19">
        <f t="shared" si="5"/>
        <v>0.61877709321110552</v>
      </c>
      <c r="CE19" t="s">
        <v>55</v>
      </c>
      <c r="CH19" t="s">
        <v>118</v>
      </c>
      <c r="CI19">
        <v>-0.21074118989767102</v>
      </c>
      <c r="CJ19">
        <v>0.58444390545537761</v>
      </c>
    </row>
    <row r="20" spans="1:88" x14ac:dyDescent="0.2">
      <c r="A20" t="s">
        <v>56</v>
      </c>
      <c r="B20" s="1">
        <v>-1.1790641900154708</v>
      </c>
      <c r="C20" s="1">
        <v>-1.1497805371986767</v>
      </c>
      <c r="D20" s="1">
        <v>-2.1408663554747935</v>
      </c>
      <c r="E20" s="1">
        <v>-1.8282737117222436</v>
      </c>
      <c r="F20" s="1">
        <v>-1.6862790028280936</v>
      </c>
      <c r="G20" s="1">
        <v>-2.1360205920517039</v>
      </c>
      <c r="H20" s="1">
        <v>-2.2265983919832335</v>
      </c>
      <c r="I20" s="1">
        <v>0.24360269045729732</v>
      </c>
      <c r="J20" s="1">
        <v>-1.1235456968940369</v>
      </c>
      <c r="K20" s="1">
        <v>-1.2623345058991053</v>
      </c>
      <c r="L20" s="1">
        <v>-0.57110454663730681</v>
      </c>
      <c r="M20" s="1">
        <v>-1.1901239993646784E-2</v>
      </c>
      <c r="N20" s="1">
        <v>-1.8020899899437837</v>
      </c>
      <c r="O20" s="1">
        <v>-0.40339611002452869</v>
      </c>
      <c r="P20" s="1">
        <v>-3.0500754913244537</v>
      </c>
      <c r="Q20" s="1">
        <v>9.9004276371515321E-2</v>
      </c>
      <c r="R20" s="1">
        <v>1.4093921881132663</v>
      </c>
      <c r="S20" s="1">
        <v>-1.3987668360620038</v>
      </c>
      <c r="T20" s="1">
        <v>-1.0579899821280616</v>
      </c>
      <c r="U20" s="1">
        <v>-2.3334753426338537</v>
      </c>
      <c r="V20" s="1">
        <v>-0.64519002735746667</v>
      </c>
      <c r="W20" s="1">
        <v>-1.5169758041794037</v>
      </c>
      <c r="X20" s="1">
        <v>-0.31347972323796458</v>
      </c>
      <c r="Y20" s="1">
        <v>-1.5511602511542737</v>
      </c>
      <c r="Z20" s="1">
        <v>-1.3714493479217769</v>
      </c>
      <c r="AA20" s="1">
        <v>-1.2830373998757643</v>
      </c>
      <c r="AB20" s="1">
        <v>-1.1753374118511368</v>
      </c>
      <c r="AC20" s="1">
        <v>-1.1233866073163969</v>
      </c>
      <c r="AD20" s="1">
        <v>0.32023220452204615</v>
      </c>
      <c r="AE20" s="1">
        <v>-2.1669063913363367</v>
      </c>
      <c r="AF20" s="1">
        <v>-2.0956328741765367</v>
      </c>
      <c r="AG20" s="1">
        <v>-2.4572146689200167</v>
      </c>
      <c r="AH20" s="1">
        <v>-1.5451761073555168</v>
      </c>
      <c r="AI20" s="1">
        <v>-2.1011832045653671</v>
      </c>
      <c r="AJ20" s="1">
        <v>-2.5258021908214872</v>
      </c>
      <c r="AK20" s="1">
        <v>-3.9348210998080262</v>
      </c>
      <c r="AL20" s="2">
        <v>-2.6017672212084957</v>
      </c>
      <c r="AM20" s="2">
        <v>1.1405297701092052</v>
      </c>
      <c r="AN20" s="2">
        <v>-1.8280206048412155</v>
      </c>
      <c r="AO20" s="2">
        <v>-2.6076806709774756</v>
      </c>
      <c r="AP20" s="2">
        <v>4.6428923696719332E-2</v>
      </c>
      <c r="AQ20" s="2">
        <v>-8.5761548283598665E-2</v>
      </c>
      <c r="AR20" s="2">
        <v>0.77042234090926631</v>
      </c>
      <c r="AS20" s="2">
        <v>1.2522772792393164</v>
      </c>
      <c r="AT20" s="2">
        <v>-0.58627666986886762</v>
      </c>
      <c r="AU20" s="2">
        <v>-0.41972902798918665</v>
      </c>
      <c r="AV20" s="2">
        <v>-1.6728111833250057</v>
      </c>
      <c r="AW20" s="2">
        <v>-2.912237087876786</v>
      </c>
      <c r="AX20" s="2">
        <v>-3.0348146685252955</v>
      </c>
      <c r="AY20" s="2">
        <v>-2.2324315489311255</v>
      </c>
      <c r="AZ20" s="2">
        <v>-2.2439172189840058</v>
      </c>
      <c r="BA20" s="2">
        <v>-2.3999508364163953</v>
      </c>
      <c r="BB20" s="2">
        <v>-2.553066763877256</v>
      </c>
      <c r="BC20" s="2">
        <v>-2.6296962577511955</v>
      </c>
      <c r="BD20" s="2">
        <v>-0.44230304692651612</v>
      </c>
      <c r="BE20" s="2">
        <v>-0.3642271763806576</v>
      </c>
      <c r="BF20" s="2">
        <v>-1.3031306552983282</v>
      </c>
      <c r="BG20" s="2">
        <v>-2.1133043077073559</v>
      </c>
      <c r="BH20" s="2">
        <v>-2.291113788491586</v>
      </c>
      <c r="BI20" s="2">
        <v>-2.9839231436366553</v>
      </c>
      <c r="BJ20" s="2">
        <v>0.59954771758857528</v>
      </c>
      <c r="BK20" s="2">
        <v>-3.5084192102495857</v>
      </c>
      <c r="BL20" s="2">
        <v>-2.3347758615090157</v>
      </c>
      <c r="BM20" s="2">
        <v>-2.7923785748448857</v>
      </c>
      <c r="BN20" s="2">
        <v>-7.3177509020609655E-2</v>
      </c>
      <c r="BO20" s="2">
        <v>1.3017276841055143</v>
      </c>
      <c r="BP20" s="2">
        <v>-0.85084861370299558</v>
      </c>
      <c r="BQ20" s="2">
        <v>-0.91461080774899561</v>
      </c>
      <c r="BR20" s="2">
        <v>-0.21962209360368268</v>
      </c>
      <c r="BS20" s="2">
        <v>-0.69344476061327565</v>
      </c>
      <c r="BT20" s="2">
        <v>-0.98007322317218559</v>
      </c>
      <c r="BU20" s="2">
        <v>-0.18664049914046765</v>
      </c>
      <c r="BV20" s="2">
        <v>0.13289275246337834</v>
      </c>
      <c r="BW20" s="2">
        <v>0.27409351220114264</v>
      </c>
      <c r="BY20">
        <f t="shared" si="0"/>
        <v>-1.3637801187007872</v>
      </c>
      <c r="BZ20">
        <f t="shared" si="1"/>
        <v>-1.1669009105418311</v>
      </c>
      <c r="CA20">
        <f t="shared" si="2"/>
        <v>0.87243574872560092</v>
      </c>
      <c r="CB20">
        <f t="shared" si="3"/>
        <v>0.4887428572839233</v>
      </c>
      <c r="CC20">
        <f t="shared" si="4"/>
        <v>-0.19687920815895615</v>
      </c>
      <c r="CD20">
        <f t="shared" si="5"/>
        <v>0.31091957653182128</v>
      </c>
      <c r="CE20" t="s">
        <v>56</v>
      </c>
      <c r="CH20" t="s">
        <v>96</v>
      </c>
      <c r="CI20">
        <v>-0.25128788930141865</v>
      </c>
      <c r="CJ20">
        <v>0.52524952366608935</v>
      </c>
    </row>
    <row r="21" spans="1:88" x14ac:dyDescent="0.2">
      <c r="A21" t="s">
        <v>57</v>
      </c>
      <c r="B21" s="1">
        <v>-1.3739109473796405</v>
      </c>
      <c r="C21" s="1">
        <v>0.46132316311846755</v>
      </c>
      <c r="D21" s="1">
        <v>-0.17089194391226636</v>
      </c>
      <c r="E21" s="1">
        <v>1.0337950325396676</v>
      </c>
      <c r="F21" s="1">
        <v>-0.55008633143075136</v>
      </c>
      <c r="G21" s="1">
        <v>0.48567530955580773</v>
      </c>
      <c r="H21" s="1">
        <v>0.85936642881865755</v>
      </c>
      <c r="I21" s="1">
        <v>3.3293872095388872</v>
      </c>
      <c r="J21" s="1">
        <v>-1.4146617120811551</v>
      </c>
      <c r="K21" s="1">
        <v>-0.29860003142312447</v>
      </c>
      <c r="L21" s="1">
        <v>0.53675655186360649</v>
      </c>
      <c r="M21" s="1">
        <v>1.6478709883845848</v>
      </c>
      <c r="N21" s="1">
        <v>2.382826894302668</v>
      </c>
      <c r="O21" s="1">
        <v>-0.48986976226159235</v>
      </c>
      <c r="P21" s="1">
        <v>0.77705695547084774</v>
      </c>
      <c r="Q21" s="1">
        <v>1.5377229243615578</v>
      </c>
      <c r="R21" s="1">
        <v>3.4394481055155177</v>
      </c>
      <c r="S21" s="1">
        <v>1.1198916419780176</v>
      </c>
      <c r="T21" s="1">
        <v>0.26036330613343761</v>
      </c>
      <c r="U21" s="1">
        <v>-0.24841963190266736</v>
      </c>
      <c r="V21" s="1">
        <v>1.9917612797261774</v>
      </c>
      <c r="W21" s="1">
        <v>-0.27026177123673034</v>
      </c>
      <c r="X21" s="1">
        <v>-0.7596570257742884</v>
      </c>
      <c r="Y21" s="1">
        <v>-4.6570458225673184E-3</v>
      </c>
      <c r="Z21" s="1">
        <v>-2.5987653394852752</v>
      </c>
      <c r="AA21" s="1">
        <v>0.50976763465106556</v>
      </c>
      <c r="AB21" s="1" t="s">
        <v>67</v>
      </c>
      <c r="AC21" s="1">
        <v>2.2027532858869048</v>
      </c>
      <c r="AD21" s="1" t="s">
        <v>67</v>
      </c>
      <c r="AE21" s="1">
        <v>-1.152360240232835</v>
      </c>
      <c r="AF21" s="1">
        <v>-1.4735235276086651</v>
      </c>
      <c r="AG21" s="1">
        <v>8.4402883652617888E-2</v>
      </c>
      <c r="AH21" s="1">
        <v>1.1310318531480927</v>
      </c>
      <c r="AI21" s="1">
        <v>1.6604017803518849</v>
      </c>
      <c r="AJ21" s="1">
        <v>4.1272724623608052</v>
      </c>
      <c r="AK21" s="1">
        <v>-0.90292564687355514</v>
      </c>
      <c r="AL21" s="2">
        <v>1.6335206568478386</v>
      </c>
      <c r="AM21" s="2">
        <v>1.2493844491733408</v>
      </c>
      <c r="AN21" s="2">
        <v>0.93180279434058688</v>
      </c>
      <c r="AO21" s="2">
        <v>0.45621840491293852</v>
      </c>
      <c r="AP21" s="2">
        <v>-0.73486470675172122</v>
      </c>
      <c r="AQ21" s="2">
        <v>-0.22066652806602216</v>
      </c>
      <c r="AR21" s="2">
        <v>2.6548500317653589</v>
      </c>
      <c r="AS21" s="2">
        <v>1.8453020248152789</v>
      </c>
      <c r="AT21" s="2">
        <v>0.78596916623548585</v>
      </c>
      <c r="AU21" s="2">
        <v>4.2882961859225854E-2</v>
      </c>
      <c r="AV21" s="2">
        <v>1.5615713652404088</v>
      </c>
      <c r="AW21" s="2">
        <v>2.3150408417350188</v>
      </c>
      <c r="AX21" s="2">
        <v>2.6940280575869791</v>
      </c>
      <c r="AY21" s="2">
        <v>3.3459492119683691</v>
      </c>
      <c r="AZ21" s="2">
        <v>2.9196763718234289</v>
      </c>
      <c r="BA21" s="2">
        <v>1.0963287063936589</v>
      </c>
      <c r="BB21" s="2">
        <v>0.87744163228661987</v>
      </c>
      <c r="BC21" s="2">
        <v>0.9554266269648608</v>
      </c>
      <c r="BD21" s="2">
        <v>-0.1493543488157455</v>
      </c>
      <c r="BE21" s="2">
        <v>-0.98589776495567116</v>
      </c>
      <c r="BF21" s="2">
        <v>1.4488360256081876</v>
      </c>
      <c r="BG21" s="2">
        <v>2.2569928555791487</v>
      </c>
      <c r="BH21" s="2">
        <v>2.829732311211119</v>
      </c>
      <c r="BI21" s="2">
        <v>0.77618002415935983</v>
      </c>
      <c r="BJ21" s="2">
        <v>0.61683250060355288</v>
      </c>
      <c r="BK21" s="2">
        <v>1.7687817556734386</v>
      </c>
      <c r="BL21" s="2">
        <v>-1.0193445830972809</v>
      </c>
      <c r="BM21" s="2">
        <v>0.22608309702258286</v>
      </c>
      <c r="BN21" s="2">
        <v>0.63578357785358686</v>
      </c>
      <c r="BO21" s="2">
        <v>0.43505804879683835</v>
      </c>
      <c r="BP21" s="2">
        <v>0.65427087165318587</v>
      </c>
      <c r="BQ21" s="2">
        <v>1.3184011051694999</v>
      </c>
      <c r="BR21" s="2">
        <v>0.27866613687162584</v>
      </c>
      <c r="BS21" s="2">
        <v>-0.81589259827851113</v>
      </c>
      <c r="BT21" s="2">
        <v>2.0872641265364189</v>
      </c>
      <c r="BU21" s="2">
        <v>-5.2156868457323147E-2</v>
      </c>
      <c r="BV21" s="2">
        <v>-7.4090891223843158E-2</v>
      </c>
      <c r="BW21" s="2">
        <v>-7.9359705123735136E-2</v>
      </c>
      <c r="BY21">
        <f t="shared" si="0"/>
        <v>0.52559660982159306</v>
      </c>
      <c r="BZ21">
        <f t="shared" si="1"/>
        <v>0.96228020383995005</v>
      </c>
      <c r="CA21">
        <f t="shared" si="2"/>
        <v>0.73883105143128958</v>
      </c>
      <c r="CB21">
        <f t="shared" si="3"/>
        <v>0.1758945198855919</v>
      </c>
      <c r="CC21">
        <f t="shared" si="4"/>
        <v>-0.43668359401835694</v>
      </c>
      <c r="CD21">
        <f t="shared" si="5"/>
        <v>0.75474769107421724</v>
      </c>
      <c r="CE21" t="s">
        <v>57</v>
      </c>
      <c r="CH21" t="s">
        <v>48</v>
      </c>
      <c r="CI21">
        <v>-0.29746097900478036</v>
      </c>
      <c r="CJ21">
        <v>0.5217048999527345</v>
      </c>
    </row>
    <row r="22" spans="1:88" x14ac:dyDescent="0.2">
      <c r="A22" t="s">
        <v>58</v>
      </c>
      <c r="B22" s="1">
        <v>-0.65736860930875141</v>
      </c>
      <c r="C22" s="1">
        <v>-0.97562154378580646</v>
      </c>
      <c r="D22" s="1">
        <v>0.2930556417208845</v>
      </c>
      <c r="E22" s="1">
        <v>-0.71778019224212453</v>
      </c>
      <c r="F22" s="1">
        <v>-1.0563338594722904</v>
      </c>
      <c r="G22" s="1">
        <v>-1.2630138734603724</v>
      </c>
      <c r="H22" s="1">
        <v>-0.52991966649059741</v>
      </c>
      <c r="I22" s="1">
        <v>0.48660268277207053</v>
      </c>
      <c r="J22" s="1">
        <v>-2.3051390473359268</v>
      </c>
      <c r="K22" s="1">
        <v>-0.84800341166739002</v>
      </c>
      <c r="L22" s="1">
        <v>-1.3691480860273366</v>
      </c>
      <c r="M22" s="1">
        <v>-1.2622861119610966</v>
      </c>
      <c r="N22" s="1">
        <v>-0.75698759859116049</v>
      </c>
      <c r="O22" s="1">
        <v>-1.4705132476539844</v>
      </c>
      <c r="P22" s="1">
        <v>-0.27281483341748147</v>
      </c>
      <c r="Q22" s="1">
        <v>-0.48375403103956449</v>
      </c>
      <c r="R22" s="1">
        <v>0.31187777722376453</v>
      </c>
      <c r="S22" s="1">
        <v>-0.58652332142135044</v>
      </c>
      <c r="T22" s="1">
        <v>-0.56553307749040349</v>
      </c>
      <c r="U22" s="1">
        <v>-0.14124074103294346</v>
      </c>
      <c r="V22" s="1">
        <v>-0.26444547195285334</v>
      </c>
      <c r="W22" s="1">
        <v>-1.7133398560113546</v>
      </c>
      <c r="X22" s="1">
        <v>-0.90414635573671642</v>
      </c>
      <c r="Y22" s="1">
        <v>-0.54445772811854842</v>
      </c>
      <c r="Z22" s="1">
        <v>-1.9985097238530267</v>
      </c>
      <c r="AA22" s="1">
        <v>-2.0516045746026599</v>
      </c>
      <c r="AB22" s="1">
        <v>-0.71784215858864053</v>
      </c>
      <c r="AC22" s="1">
        <v>-7.4541232116964562E-2</v>
      </c>
      <c r="AD22" s="1">
        <v>-1.6551789797760066</v>
      </c>
      <c r="AE22" s="1">
        <v>-1.8567990110582864</v>
      </c>
      <c r="AF22" s="1">
        <v>-1.4483237716679065</v>
      </c>
      <c r="AG22" s="1">
        <v>-1.0312361667285666</v>
      </c>
      <c r="AH22" s="1">
        <v>8.2872042564339332E-2</v>
      </c>
      <c r="AI22" s="1">
        <v>-0.20518543121385358</v>
      </c>
      <c r="AJ22" s="1">
        <v>-0.98230400555784647</v>
      </c>
      <c r="AK22" s="1">
        <v>-1.0407145587422066</v>
      </c>
      <c r="AL22" s="2">
        <v>0.16274824767891743</v>
      </c>
      <c r="AM22" s="2">
        <v>-1.3651853563681948</v>
      </c>
      <c r="AN22" s="2">
        <v>0.75429225340888906</v>
      </c>
      <c r="AO22" s="2">
        <v>-0.33742127241029396</v>
      </c>
      <c r="AP22" s="2">
        <v>-3.0443539110672351</v>
      </c>
      <c r="AQ22" s="2">
        <v>-2.2390793777891949</v>
      </c>
      <c r="AR22" s="2">
        <v>-0.47193776968933998</v>
      </c>
      <c r="AS22" s="2">
        <v>-2.1471429842849048</v>
      </c>
      <c r="AT22" s="2">
        <v>-0.17102640023195398</v>
      </c>
      <c r="AU22" s="2">
        <v>0.14174405554989492</v>
      </c>
      <c r="AV22" s="2">
        <v>0.54642151080943901</v>
      </c>
      <c r="AW22" s="2">
        <v>0.26200502833936601</v>
      </c>
      <c r="AX22" s="2">
        <v>-1.1698391907337649</v>
      </c>
      <c r="AY22" s="2">
        <v>0.43254308301150202</v>
      </c>
      <c r="AZ22" s="2">
        <v>-0.572547052722998</v>
      </c>
      <c r="BA22" s="2">
        <v>-0.94939118601705508</v>
      </c>
      <c r="BB22" s="2">
        <v>-1.0430664047002649</v>
      </c>
      <c r="BC22" s="2">
        <v>0.87983591689679497</v>
      </c>
      <c r="BD22" s="2">
        <v>-0.11537799204761712</v>
      </c>
      <c r="BE22" s="2">
        <v>-1.9268491738361049</v>
      </c>
      <c r="BF22" s="2">
        <v>-8.4235749749421052E-2</v>
      </c>
      <c r="BG22" s="2">
        <v>0.38194161732401699</v>
      </c>
      <c r="BH22" s="2">
        <v>0.65022697041584099</v>
      </c>
      <c r="BI22" s="2">
        <v>0.28182489033084501</v>
      </c>
      <c r="BJ22" s="2">
        <v>-1.888003050236335</v>
      </c>
      <c r="BK22" s="2">
        <v>-0.93391190462754492</v>
      </c>
      <c r="BL22" s="2">
        <v>-1.3445443136762951</v>
      </c>
      <c r="BM22" s="2">
        <v>-0.32253876512216001</v>
      </c>
      <c r="BN22" s="2">
        <v>-0.43259808442437497</v>
      </c>
      <c r="BO22" s="2">
        <v>-1.4261351977478052</v>
      </c>
      <c r="BP22" s="2">
        <v>0.14783041224379551</v>
      </c>
      <c r="BQ22" s="2">
        <v>-0.74407154569279499</v>
      </c>
      <c r="BR22" s="2">
        <v>-2.3831338221883649</v>
      </c>
      <c r="BS22" s="2">
        <v>-0.67358972823797003</v>
      </c>
      <c r="BT22" s="2">
        <v>-0.56659479216701802</v>
      </c>
      <c r="BU22" s="2">
        <v>-1.5600345692618451</v>
      </c>
      <c r="BV22" s="2">
        <v>-0.88626479120635193</v>
      </c>
      <c r="BW22" s="2">
        <v>-2.0816199300053451</v>
      </c>
      <c r="BY22">
        <f t="shared" si="0"/>
        <v>-0.84933894816230426</v>
      </c>
      <c r="BZ22">
        <f t="shared" si="1"/>
        <v>-0.69050211395350636</v>
      </c>
      <c r="CA22">
        <f t="shared" si="2"/>
        <v>0.89574697147094628</v>
      </c>
      <c r="CB22">
        <f t="shared" si="3"/>
        <v>0.42469213153033181</v>
      </c>
      <c r="CC22">
        <f t="shared" si="4"/>
        <v>-0.15883683420879793</v>
      </c>
      <c r="CD22">
        <f t="shared" si="5"/>
        <v>0.37192578531168469</v>
      </c>
      <c r="CE22" t="s">
        <v>58</v>
      </c>
      <c r="CH22" t="s">
        <v>66</v>
      </c>
      <c r="CI22">
        <v>-0.23364823789033212</v>
      </c>
      <c r="CJ22">
        <v>0.50269392717433758</v>
      </c>
    </row>
    <row r="23" spans="1:88" x14ac:dyDescent="0.2">
      <c r="A23" t="s">
        <v>59</v>
      </c>
      <c r="B23" s="1">
        <v>1.1570077199554172</v>
      </c>
      <c r="C23" s="1">
        <v>0.87210536463438915</v>
      </c>
      <c r="D23" s="1">
        <v>1.7002953112817851</v>
      </c>
      <c r="E23" s="1">
        <v>1.6554142181995051</v>
      </c>
      <c r="F23" s="1">
        <v>1.8244308634541351</v>
      </c>
      <c r="G23" s="1">
        <v>0.74524889328669119</v>
      </c>
      <c r="H23" s="1">
        <v>0.20947053144187294</v>
      </c>
      <c r="I23" s="1">
        <v>1.6092763633008051</v>
      </c>
      <c r="J23" s="1">
        <v>1.4802560213249478</v>
      </c>
      <c r="K23" s="1">
        <v>1.7866035801382845</v>
      </c>
      <c r="L23" s="1">
        <v>2.8798889026752077</v>
      </c>
      <c r="M23" s="1">
        <v>1.9769166131459679</v>
      </c>
      <c r="N23" s="1">
        <v>0.93415902508315618</v>
      </c>
      <c r="O23" s="1">
        <v>0.86734552546801513</v>
      </c>
      <c r="P23" s="1">
        <v>0.72591216404411218</v>
      </c>
      <c r="Q23" s="1">
        <v>3.7083573524883753</v>
      </c>
      <c r="R23" s="1">
        <v>3.4903732707497852</v>
      </c>
      <c r="S23" s="1">
        <v>2.2808878990554553</v>
      </c>
      <c r="T23" s="1">
        <v>1.3789892469379452</v>
      </c>
      <c r="U23" s="1">
        <v>1.4650662722353851</v>
      </c>
      <c r="V23" s="1">
        <v>1.3616742668317452</v>
      </c>
      <c r="W23" s="1">
        <v>-0.11270699528452183</v>
      </c>
      <c r="X23" s="1">
        <v>3.2710290551879551</v>
      </c>
      <c r="Y23" s="1">
        <v>1.7754978414691951</v>
      </c>
      <c r="Z23" s="1">
        <v>0.69428237528533776</v>
      </c>
      <c r="AA23" s="1">
        <v>-0.32081955580976312</v>
      </c>
      <c r="AB23" s="1">
        <v>0.68204327382447771</v>
      </c>
      <c r="AC23" s="1">
        <v>0.76583197255075786</v>
      </c>
      <c r="AD23" s="1">
        <v>0.66037346750589787</v>
      </c>
      <c r="AE23" s="1">
        <v>1.1249812081284278</v>
      </c>
      <c r="AF23" s="1">
        <v>1.0573338594688377</v>
      </c>
      <c r="AG23" s="1">
        <v>0.88345037650032787</v>
      </c>
      <c r="AH23" s="1">
        <v>1.5983775724815876</v>
      </c>
      <c r="AI23" s="1">
        <v>2.1732781333426177</v>
      </c>
      <c r="AJ23" s="1">
        <v>2.3518354198315978</v>
      </c>
      <c r="AK23" s="1">
        <v>-0.17331768882227422</v>
      </c>
      <c r="AL23" s="2">
        <v>2.4312998284673295</v>
      </c>
      <c r="AM23" s="2">
        <v>4.7095331234812097</v>
      </c>
      <c r="AN23" s="2">
        <v>0.7287510049483108</v>
      </c>
      <c r="AO23" s="2">
        <v>3.4518096959780493</v>
      </c>
      <c r="AP23" s="2">
        <v>0.21089899336711276</v>
      </c>
      <c r="AQ23" s="2">
        <v>1.1878372196164098</v>
      </c>
      <c r="AR23" s="2">
        <v>1.3934313126766098</v>
      </c>
      <c r="AS23" s="2">
        <v>3.2560631978262995</v>
      </c>
      <c r="AT23" s="2">
        <v>1.4124780349079198</v>
      </c>
      <c r="AU23" s="2">
        <v>1.8738976838077697</v>
      </c>
      <c r="AV23" s="2">
        <v>-0.2450741855428783</v>
      </c>
      <c r="AW23" s="2">
        <v>0.78296820407440681</v>
      </c>
      <c r="AX23" s="2">
        <v>-2.087627922704427E-2</v>
      </c>
      <c r="AY23" s="2">
        <v>0.7245976858315557</v>
      </c>
      <c r="AZ23" s="2">
        <v>1.3869018360750398</v>
      </c>
      <c r="BA23" s="2">
        <v>3.1600521137607496</v>
      </c>
      <c r="BB23" s="2">
        <v>1.3393692421087247</v>
      </c>
      <c r="BC23" s="2">
        <v>0.9690288649225558</v>
      </c>
      <c r="BD23" s="2">
        <v>2.4198147201443745</v>
      </c>
      <c r="BE23" s="2">
        <v>-0.18103472186235225</v>
      </c>
      <c r="BF23" s="2">
        <v>2.8862627163320944</v>
      </c>
      <c r="BG23" s="2">
        <v>1.8503305345774297</v>
      </c>
      <c r="BH23" s="2">
        <v>5.9496556734390749E-2</v>
      </c>
      <c r="BI23" s="2">
        <v>0.58125765868129875</v>
      </c>
      <c r="BJ23" s="2">
        <v>0.73931195666104876</v>
      </c>
      <c r="BK23" s="2">
        <v>1.9650240260758998</v>
      </c>
      <c r="BL23" s="2">
        <v>-0.61538870866889728</v>
      </c>
      <c r="BM23" s="2">
        <v>8.3298569813975765E-2</v>
      </c>
      <c r="BN23" s="2">
        <v>0.30053509745165663</v>
      </c>
      <c r="BO23" s="2">
        <v>2.1081266165954995</v>
      </c>
      <c r="BP23" s="2">
        <v>0.29110435063788948</v>
      </c>
      <c r="BQ23" s="2">
        <v>1.1630827296531159</v>
      </c>
      <c r="BR23" s="2">
        <v>-0.21446215410732927</v>
      </c>
      <c r="BS23" s="2">
        <v>-0.13060099649497126</v>
      </c>
      <c r="BT23" s="2">
        <v>2.7975784335174794</v>
      </c>
      <c r="BU23" s="2">
        <v>1.9020965111907497</v>
      </c>
      <c r="BV23" s="2">
        <v>1.3029097018058109</v>
      </c>
      <c r="BW23" s="2">
        <v>0.98384391572863472</v>
      </c>
      <c r="BY23">
        <f t="shared" si="0"/>
        <v>1.4039208255942623</v>
      </c>
      <c r="BZ23">
        <f t="shared" si="1"/>
        <v>1.2906725024091557</v>
      </c>
      <c r="CA23">
        <f t="shared" si="2"/>
        <v>1.0816609278247065</v>
      </c>
      <c r="CB23">
        <f t="shared" si="3"/>
        <v>0.65798720748395789</v>
      </c>
      <c r="CC23">
        <f t="shared" si="4"/>
        <v>0.11324832318510672</v>
      </c>
      <c r="CD23">
        <f t="shared" si="5"/>
        <v>0.18178254981025915</v>
      </c>
      <c r="CE23" t="s">
        <v>59</v>
      </c>
      <c r="CH23" t="s">
        <v>125</v>
      </c>
      <c r="CI23">
        <v>-0.17497988183313634</v>
      </c>
      <c r="CJ23">
        <v>0.49654617108955906</v>
      </c>
    </row>
    <row r="24" spans="1:88" x14ac:dyDescent="0.2">
      <c r="A24" t="s">
        <v>60</v>
      </c>
      <c r="B24" s="1">
        <v>0.76703354134414847</v>
      </c>
      <c r="C24" s="1">
        <v>1.7335572530422305</v>
      </c>
      <c r="D24" s="1">
        <v>0.46780080850047145</v>
      </c>
      <c r="E24" s="1">
        <v>1.7215032048498604</v>
      </c>
      <c r="F24" s="1">
        <v>-0.22512422347939592</v>
      </c>
      <c r="G24" s="1">
        <v>6.9552884604986487E-2</v>
      </c>
      <c r="H24" s="1">
        <v>1.9060613615214903</v>
      </c>
      <c r="I24" s="1">
        <v>2.5470396613870205</v>
      </c>
      <c r="J24" s="1">
        <v>3.1457749495028091</v>
      </c>
      <c r="K24" s="1">
        <v>1.4689380073346303</v>
      </c>
      <c r="L24" s="1">
        <v>2.014043741008809</v>
      </c>
      <c r="M24" s="1">
        <v>2.046628037740029</v>
      </c>
      <c r="N24" s="1">
        <v>1.7483887717252005</v>
      </c>
      <c r="O24" s="1">
        <v>0.23222536240504849</v>
      </c>
      <c r="P24" s="1">
        <v>4.3639037520083708</v>
      </c>
      <c r="Q24" s="1">
        <v>3.9381474700021801</v>
      </c>
      <c r="R24" s="1">
        <v>3.9111185229056904</v>
      </c>
      <c r="S24" s="1">
        <v>1.4071483544543304</v>
      </c>
      <c r="T24" s="1">
        <v>1.3024272654819904</v>
      </c>
      <c r="U24" s="1">
        <v>3.5959526375881006</v>
      </c>
      <c r="V24" s="1">
        <v>3.0901982088396607</v>
      </c>
      <c r="W24" s="1">
        <v>1.3811986677660806</v>
      </c>
      <c r="X24" s="1">
        <v>1.1099285404509605</v>
      </c>
      <c r="Y24" s="1">
        <v>0.48061870775172943</v>
      </c>
      <c r="Z24" s="1">
        <v>-1.6933121348201412</v>
      </c>
      <c r="AA24" s="1">
        <v>2.5084495930904613</v>
      </c>
      <c r="AB24" s="1">
        <v>2.685408823676239</v>
      </c>
      <c r="AC24" s="1">
        <v>3.743452099639109</v>
      </c>
      <c r="AD24" s="1">
        <v>3.465783428907379</v>
      </c>
      <c r="AE24" s="1">
        <v>0.5939426706479779</v>
      </c>
      <c r="AF24" s="1">
        <v>-0.73219283238582511</v>
      </c>
      <c r="AG24" s="1">
        <v>1.4096320785397289</v>
      </c>
      <c r="AH24" s="1">
        <v>3.0326381139967888</v>
      </c>
      <c r="AI24" s="1">
        <v>1.841496108679219</v>
      </c>
      <c r="AJ24" s="1">
        <v>1.8400420215938889</v>
      </c>
      <c r="AK24" s="1">
        <v>2.3211372048395988</v>
      </c>
      <c r="AL24" s="2">
        <v>2.8567322605235197</v>
      </c>
      <c r="AM24" s="2">
        <v>0.49262714465329971</v>
      </c>
      <c r="AN24" s="2">
        <v>6.0803736291364094</v>
      </c>
      <c r="AO24" s="2">
        <v>1.0353975147724397</v>
      </c>
      <c r="AP24" s="2">
        <v>3.3130905509636297</v>
      </c>
      <c r="AQ24" s="2">
        <v>3.1971965309982395</v>
      </c>
      <c r="AR24" s="2">
        <v>2.3053911898498898</v>
      </c>
      <c r="AS24" s="2">
        <v>2.2867190854706099</v>
      </c>
      <c r="AT24" s="2">
        <v>2.1000729134907998</v>
      </c>
      <c r="AU24" s="2">
        <v>0.6339886946747707</v>
      </c>
      <c r="AV24" s="2">
        <v>2.7868540547639498</v>
      </c>
      <c r="AW24" s="2">
        <v>2.8902235334915098</v>
      </c>
      <c r="AX24" s="2">
        <v>1.7961458244471897</v>
      </c>
      <c r="AY24" s="2">
        <v>4.4615273376027895</v>
      </c>
      <c r="AZ24" s="2">
        <v>2.8336769644243698</v>
      </c>
      <c r="BA24" s="2">
        <v>0.71554462656839468</v>
      </c>
      <c r="BB24" s="2">
        <v>1.1645871135749297</v>
      </c>
      <c r="BC24" s="2">
        <v>2.0700035829908598</v>
      </c>
      <c r="BD24" s="2">
        <v>1.7948773150258863</v>
      </c>
      <c r="BE24" s="2">
        <v>3.1123493372671196</v>
      </c>
      <c r="BF24" s="2">
        <v>1.5322737854748971</v>
      </c>
      <c r="BG24" s="2">
        <v>3.0418426705825499</v>
      </c>
      <c r="BH24" s="2">
        <v>3.2301788929494695</v>
      </c>
      <c r="BI24" s="2">
        <v>3.1045682310017195</v>
      </c>
      <c r="BJ24" s="2">
        <v>0.40873447300073162</v>
      </c>
      <c r="BK24" s="2">
        <v>0.25437911340961666</v>
      </c>
      <c r="BL24" s="2">
        <v>0.49670152743111073</v>
      </c>
      <c r="BM24" s="2">
        <v>0.54361211152502065</v>
      </c>
      <c r="BN24" s="2">
        <v>2.5823158284036598</v>
      </c>
      <c r="BO24" s="2">
        <v>2.2886208445401897</v>
      </c>
      <c r="BP24" s="2">
        <v>1.8354185538872199</v>
      </c>
      <c r="BQ24" s="2">
        <v>2.0363649567541495</v>
      </c>
      <c r="BR24" s="2">
        <v>1.1858993924930497</v>
      </c>
      <c r="BS24" s="2">
        <v>2.2844488134907897</v>
      </c>
      <c r="BT24" s="2">
        <v>1.8786797079522195</v>
      </c>
      <c r="BU24" s="2">
        <v>2.4445726009420197</v>
      </c>
      <c r="BV24" s="2">
        <v>1.1981895786427696</v>
      </c>
      <c r="BW24" s="2">
        <v>1.6357889859939496</v>
      </c>
      <c r="BY24">
        <f t="shared" si="0"/>
        <v>1.8122372962539122</v>
      </c>
      <c r="BZ24">
        <f t="shared" si="1"/>
        <v>2.1028939282412042</v>
      </c>
      <c r="CA24">
        <f t="shared" si="2"/>
        <v>0.81752988118290337</v>
      </c>
      <c r="CB24">
        <f t="shared" si="3"/>
        <v>0.34144505172800177</v>
      </c>
      <c r="CC24">
        <f t="shared" si="4"/>
        <v>-0.29065663198729197</v>
      </c>
      <c r="CD24">
        <f t="shared" si="5"/>
        <v>0.46667917675959147</v>
      </c>
      <c r="CE24" t="s">
        <v>60</v>
      </c>
      <c r="CH24" t="s">
        <v>84</v>
      </c>
      <c r="CI24">
        <v>-0.29711224172331718</v>
      </c>
      <c r="CJ24">
        <v>0.49186987433423257</v>
      </c>
    </row>
    <row r="25" spans="1:88" x14ac:dyDescent="0.2">
      <c r="A25" t="s">
        <v>61</v>
      </c>
      <c r="B25" s="1">
        <v>3.1154520514518063</v>
      </c>
      <c r="C25" s="1">
        <v>0.47961480230539816</v>
      </c>
      <c r="D25" s="1">
        <v>0.7616758457451992</v>
      </c>
      <c r="E25" s="1">
        <v>0.78349882073075916</v>
      </c>
      <c r="F25" s="1">
        <v>-0.58749819446563589</v>
      </c>
      <c r="G25" s="1">
        <v>-0.16818050597870582</v>
      </c>
      <c r="H25" s="1">
        <v>0.79657173459543618</v>
      </c>
      <c r="I25" s="1">
        <v>1.3275755468619861</v>
      </c>
      <c r="J25" s="1">
        <v>4.8083035063421464</v>
      </c>
      <c r="K25" s="1">
        <v>0.74756869540932713</v>
      </c>
      <c r="L25" s="1">
        <v>-1.026613900762374</v>
      </c>
      <c r="M25" s="1">
        <v>-1.7303080183464941</v>
      </c>
      <c r="N25" s="1">
        <v>1.1180678064322531</v>
      </c>
      <c r="O25" s="1">
        <v>0.43480639462187715</v>
      </c>
      <c r="P25" s="1">
        <v>0.58379409941018112</v>
      </c>
      <c r="Q25" s="1">
        <v>0.97317771035205614</v>
      </c>
      <c r="R25" s="1">
        <v>1.2010822559243362</v>
      </c>
      <c r="S25" s="1">
        <v>0.65068050813401512</v>
      </c>
      <c r="T25" s="1">
        <v>2.782909179202286</v>
      </c>
      <c r="U25" s="1">
        <v>0.20856538469155134</v>
      </c>
      <c r="V25" s="1">
        <v>1.5192842372411162</v>
      </c>
      <c r="W25" s="1">
        <v>0.64842997158298721</v>
      </c>
      <c r="X25" s="1">
        <v>2.023231917709766</v>
      </c>
      <c r="Y25" s="1">
        <v>0.93209750104341815</v>
      </c>
      <c r="Z25" s="1">
        <v>-1.9221169123165238</v>
      </c>
      <c r="AA25" s="1">
        <v>1.6171820337530471</v>
      </c>
      <c r="AB25" s="1">
        <v>-0.38676965770607397</v>
      </c>
      <c r="AC25" s="1">
        <v>-0.22063130857331997</v>
      </c>
      <c r="AD25" s="1">
        <v>3.4885591384567762</v>
      </c>
      <c r="AE25" s="1">
        <v>1.0685042475211621</v>
      </c>
      <c r="AF25" s="1">
        <v>1.586621487192146</v>
      </c>
      <c r="AG25" s="1">
        <v>4.3494484616421563</v>
      </c>
      <c r="AH25" s="1">
        <v>1.728258277218246</v>
      </c>
      <c r="AI25" s="1">
        <v>2.5263917957091264</v>
      </c>
      <c r="AJ25" s="1">
        <v>4.014793908006606</v>
      </c>
      <c r="AK25" s="1">
        <v>-1.6665113451256439</v>
      </c>
      <c r="AL25" s="2">
        <v>0.60694289397969625</v>
      </c>
      <c r="AM25" s="2">
        <v>-0.55254890691894576</v>
      </c>
      <c r="AN25" s="2">
        <v>1.5985645248654663</v>
      </c>
      <c r="AO25" s="2">
        <v>0.39446668814034525</v>
      </c>
      <c r="AP25" s="2">
        <v>2.4150884287143466</v>
      </c>
      <c r="AQ25" s="2">
        <v>1.9437229580269164</v>
      </c>
      <c r="AR25" s="2">
        <v>1.9449103358263164</v>
      </c>
      <c r="AS25" s="2">
        <v>0.33247828901620724</v>
      </c>
      <c r="AT25" s="2">
        <v>1.1729750691870562</v>
      </c>
      <c r="AU25" s="2">
        <v>-0.2956753149543932</v>
      </c>
      <c r="AV25" s="2">
        <v>1.3428748062485663</v>
      </c>
      <c r="AW25" s="2">
        <v>0.36479055185146825</v>
      </c>
      <c r="AX25" s="2">
        <v>-0.50340617747901872</v>
      </c>
      <c r="AY25" s="2">
        <v>0.61251193804067128</v>
      </c>
      <c r="AZ25" s="2">
        <v>1.1785457373949162</v>
      </c>
      <c r="BA25" s="2">
        <v>0.10582475817990528</v>
      </c>
      <c r="BB25" s="2">
        <v>0.6273318109900583</v>
      </c>
      <c r="BC25" s="2">
        <v>0.81389644231833636</v>
      </c>
      <c r="BD25" s="2">
        <v>1.0012055927661632</v>
      </c>
      <c r="BE25" s="2">
        <v>1.4904038783029963</v>
      </c>
      <c r="BF25" s="2">
        <v>-0.12165169761194583</v>
      </c>
      <c r="BG25" s="2">
        <v>1.1814641906046863</v>
      </c>
      <c r="BH25" s="2">
        <v>1.0155799681144062</v>
      </c>
      <c r="BI25" s="2">
        <v>1.1503699032463564</v>
      </c>
      <c r="BJ25" s="2">
        <v>0.64005338304280923</v>
      </c>
      <c r="BK25" s="2">
        <v>-0.46817861863992072</v>
      </c>
      <c r="BL25" s="2">
        <v>0.70560782034578629</v>
      </c>
      <c r="BM25" s="2">
        <v>1.2530627462038162</v>
      </c>
      <c r="BN25" s="2">
        <v>1.8243662990142762</v>
      </c>
      <c r="BO25" s="2">
        <v>4.1359448158149856</v>
      </c>
      <c r="BP25" s="2">
        <v>1.9465373543076965</v>
      </c>
      <c r="BQ25" s="2">
        <v>1.6588020313199963</v>
      </c>
      <c r="BR25" s="2">
        <v>1.2544586264293462</v>
      </c>
      <c r="BS25" s="2">
        <v>2.0779788237932566</v>
      </c>
      <c r="BT25" s="2">
        <v>0.25940978998852426</v>
      </c>
      <c r="BU25" s="2">
        <v>0.40642865050163623</v>
      </c>
      <c r="BV25" s="2">
        <v>-6.1563431893776721E-2</v>
      </c>
      <c r="BW25" s="2">
        <v>0.59423285630303324</v>
      </c>
      <c r="BY25">
        <f t="shared" si="0"/>
        <v>1.0713199298892329</v>
      </c>
      <c r="BZ25">
        <f t="shared" si="1"/>
        <v>0.94862652145742243</v>
      </c>
      <c r="CA25">
        <f t="shared" si="2"/>
        <v>1.088765613813893</v>
      </c>
      <c r="CB25">
        <f t="shared" si="3"/>
        <v>0.69107654878521574</v>
      </c>
      <c r="CC25">
        <f t="shared" si="4"/>
        <v>0.12269340843181051</v>
      </c>
      <c r="CD25">
        <f t="shared" si="5"/>
        <v>0.16047384427018435</v>
      </c>
      <c r="CE25" t="s">
        <v>61</v>
      </c>
      <c r="CH25" t="s">
        <v>121</v>
      </c>
      <c r="CI25">
        <v>0.33405676743595109</v>
      </c>
      <c r="CJ25">
        <v>0.48974754617793997</v>
      </c>
    </row>
    <row r="26" spans="1:88" x14ac:dyDescent="0.2">
      <c r="A26" t="s">
        <v>62</v>
      </c>
      <c r="B26" s="1">
        <v>9.9877965196971549E-2</v>
      </c>
      <c r="C26" s="1">
        <v>0.7495643397834294</v>
      </c>
      <c r="D26" s="1">
        <v>1.4186721727013114</v>
      </c>
      <c r="E26" s="1">
        <v>1.5111611179252513</v>
      </c>
      <c r="F26" s="1">
        <v>1.5581634600814214</v>
      </c>
      <c r="G26" s="1">
        <v>3.7214266101063815</v>
      </c>
      <c r="H26" s="1">
        <v>2.819597238676721</v>
      </c>
      <c r="I26" s="1">
        <v>4.9522390218776513</v>
      </c>
      <c r="J26" s="1">
        <v>2.4815447823321901E-2</v>
      </c>
      <c r="K26" s="1">
        <v>0.69143811440594405</v>
      </c>
      <c r="L26" s="1">
        <v>0.15543252960884485</v>
      </c>
      <c r="M26" s="1">
        <v>1.7431189646157996</v>
      </c>
      <c r="N26" s="1">
        <v>0.20908386409294036</v>
      </c>
      <c r="O26" s="1">
        <v>-0.73912534292485166</v>
      </c>
      <c r="P26" s="1">
        <v>1.2824263048804614</v>
      </c>
      <c r="Q26" s="1">
        <v>0.99989014316156033</v>
      </c>
      <c r="R26" s="1">
        <v>1.3471977043076413</v>
      </c>
      <c r="S26" s="1">
        <v>1.5190644130832713</v>
      </c>
      <c r="T26" s="1">
        <v>-5.3124746669785644E-2</v>
      </c>
      <c r="U26" s="1">
        <v>0.45993899024338436</v>
      </c>
      <c r="V26" s="1">
        <v>2.5184523972096011</v>
      </c>
      <c r="W26" s="1">
        <v>0.42114551303894837</v>
      </c>
      <c r="X26" s="1">
        <v>0.50642599141404232</v>
      </c>
      <c r="Y26" s="1">
        <v>0.44818747733118336</v>
      </c>
      <c r="Z26" s="1">
        <v>-0.18651624046341519</v>
      </c>
      <c r="AA26" s="1">
        <v>1.1508315982033881</v>
      </c>
      <c r="AB26" s="1">
        <v>2.02881285535139</v>
      </c>
      <c r="AC26" s="1">
        <v>2.1602333311038397</v>
      </c>
      <c r="AD26" s="1">
        <v>1.8570616467254499</v>
      </c>
      <c r="AE26" s="1">
        <v>1.2599256663818248</v>
      </c>
      <c r="AF26" s="1">
        <v>1.2598978304583497</v>
      </c>
      <c r="AG26" s="1">
        <v>0.45562531298584186</v>
      </c>
      <c r="AH26" s="1">
        <v>1.369066628498389</v>
      </c>
      <c r="AI26" s="1">
        <v>0.93783165680691682</v>
      </c>
      <c r="AJ26" s="1">
        <v>1.4821835139709907</v>
      </c>
      <c r="AK26" s="1">
        <v>0.74322243731675386</v>
      </c>
      <c r="AL26" s="2">
        <v>0.67351134539958979</v>
      </c>
      <c r="AM26" s="2">
        <v>1.7557576041714298</v>
      </c>
      <c r="AN26" s="2">
        <v>1.8243195464915196</v>
      </c>
      <c r="AO26" s="2">
        <v>1.8573555261824399</v>
      </c>
      <c r="AP26" s="2">
        <v>2.4739196675347799</v>
      </c>
      <c r="AQ26" s="2">
        <v>2.24797117074871</v>
      </c>
      <c r="AR26" s="2">
        <v>2.3863432926353698</v>
      </c>
      <c r="AS26" s="2">
        <v>-0.69089706562692321</v>
      </c>
      <c r="AT26" s="2">
        <v>-0.36837314993457321</v>
      </c>
      <c r="AU26" s="2">
        <v>1.5649658412096996</v>
      </c>
      <c r="AV26" s="2">
        <v>1.5160594030829397</v>
      </c>
      <c r="AW26" s="2">
        <v>1.4481794747012797</v>
      </c>
      <c r="AX26" s="2">
        <v>0.28281329766869989</v>
      </c>
      <c r="AY26" s="2">
        <v>0.81445579041326988</v>
      </c>
      <c r="AZ26" s="2">
        <v>1.1142558695860798</v>
      </c>
      <c r="BA26" s="2">
        <v>0.87133231079656981</v>
      </c>
      <c r="BB26" s="2">
        <v>2.1248459237697697</v>
      </c>
      <c r="BC26" s="2">
        <v>2.3141389059181998</v>
      </c>
      <c r="BD26" s="2">
        <v>1.238717028847593</v>
      </c>
      <c r="BE26" s="2">
        <v>2.0523064485498397</v>
      </c>
      <c r="BF26" s="2">
        <v>1.4768888716946311</v>
      </c>
      <c r="BG26" s="2">
        <v>1.2702321438248698</v>
      </c>
      <c r="BH26" s="2">
        <v>1.6602114035746096</v>
      </c>
      <c r="BI26" s="2">
        <v>2.3782680484638599</v>
      </c>
      <c r="BJ26" s="2">
        <v>0.21158817874116975</v>
      </c>
      <c r="BK26" s="2">
        <v>0.74444323204055984</v>
      </c>
      <c r="BL26" s="2">
        <v>2.6230563130433397</v>
      </c>
      <c r="BM26" s="2" t="s">
        <v>67</v>
      </c>
      <c r="BN26" s="2">
        <v>1.5519539284199699</v>
      </c>
      <c r="BO26" s="2">
        <v>2.1039963893780498</v>
      </c>
      <c r="BP26" s="2">
        <v>2.6434056125039498</v>
      </c>
      <c r="BQ26" s="2">
        <v>1.5237089913908797</v>
      </c>
      <c r="BR26" s="2">
        <v>3.12073325330597</v>
      </c>
      <c r="BS26" s="2">
        <v>3.1797212383856102</v>
      </c>
      <c r="BT26" s="2">
        <v>-0.23229279222701715</v>
      </c>
      <c r="BU26" s="2">
        <v>-0.32993557744146018</v>
      </c>
      <c r="BV26" s="2">
        <v>0.29017829816378971</v>
      </c>
      <c r="BW26" s="2">
        <v>0.52260596517650981</v>
      </c>
      <c r="BY26">
        <f t="shared" si="0"/>
        <v>1.191201275814199</v>
      </c>
      <c r="BZ26">
        <f t="shared" si="1"/>
        <v>1.411911938664475</v>
      </c>
      <c r="CA26">
        <f t="shared" si="2"/>
        <v>0.85814261644506407</v>
      </c>
      <c r="CB26">
        <f t="shared" si="3"/>
        <v>0.37388448524350515</v>
      </c>
      <c r="CC26">
        <f t="shared" si="4"/>
        <v>-0.22071066285027607</v>
      </c>
      <c r="CD26">
        <f t="shared" si="5"/>
        <v>0.42726255600901042</v>
      </c>
      <c r="CE26" t="s">
        <v>62</v>
      </c>
      <c r="CH26" t="s">
        <v>60</v>
      </c>
      <c r="CI26">
        <v>-0.29065663198729197</v>
      </c>
      <c r="CJ26">
        <v>0.46667917675959147</v>
      </c>
    </row>
    <row r="27" spans="1:88" x14ac:dyDescent="0.2">
      <c r="A27" t="s">
        <v>63</v>
      </c>
      <c r="B27" s="1">
        <v>-0.74937360975814982</v>
      </c>
      <c r="C27" s="1">
        <v>-0.5089234171855318</v>
      </c>
      <c r="D27" s="1">
        <v>1.0658456846359121</v>
      </c>
      <c r="E27" s="1">
        <v>0.46074824022625094</v>
      </c>
      <c r="F27" s="1">
        <v>-1.5051442723170099</v>
      </c>
      <c r="G27" s="1">
        <v>-2.0221537859806098</v>
      </c>
      <c r="H27" s="1">
        <v>1.2809458111519541</v>
      </c>
      <c r="I27" s="1">
        <v>0.8349551143632572</v>
      </c>
      <c r="J27" s="1">
        <v>0.45670931360953199</v>
      </c>
      <c r="K27" s="1">
        <v>4.546011048091711E-2</v>
      </c>
      <c r="L27" s="1">
        <v>-0.82457062881164411</v>
      </c>
      <c r="M27" s="1">
        <v>1.3190700625670981</v>
      </c>
      <c r="N27" s="1">
        <v>-0.3157226769085959</v>
      </c>
      <c r="O27" s="1">
        <v>0.12899406402759217</v>
      </c>
      <c r="P27" s="1">
        <v>0.79071480103132408</v>
      </c>
      <c r="Q27" s="1">
        <v>1.9249289655425161E-2</v>
      </c>
      <c r="R27" s="1">
        <v>-0.15420087147104988</v>
      </c>
      <c r="S27" s="1">
        <v>1.9787923099621301</v>
      </c>
      <c r="T27" s="1">
        <v>0.12658803138813413</v>
      </c>
      <c r="U27" s="1">
        <v>-0.14846126351584088</v>
      </c>
      <c r="V27" s="1">
        <v>1.8014388367740501</v>
      </c>
      <c r="W27" s="1">
        <v>-0.63078423120441984</v>
      </c>
      <c r="X27" s="1">
        <v>1.074086774662796</v>
      </c>
      <c r="Y27" s="1">
        <v>0.5437368058568699</v>
      </c>
      <c r="Z27" s="1">
        <v>-0.15453746935865098</v>
      </c>
      <c r="AA27" s="1">
        <v>1.1811872161046506</v>
      </c>
      <c r="AB27" s="1">
        <v>2.6535476696564859</v>
      </c>
      <c r="AC27" s="1">
        <v>1.532969552020065</v>
      </c>
      <c r="AD27" s="1">
        <v>1.122868737893215</v>
      </c>
      <c r="AE27" s="1">
        <v>-0.65187077210448408</v>
      </c>
      <c r="AF27" s="1">
        <v>0.93552417661340193</v>
      </c>
      <c r="AG27" s="1">
        <v>4.9818012150783963E-2</v>
      </c>
      <c r="AH27" s="1">
        <v>1.6711159037010059</v>
      </c>
      <c r="AI27" s="1">
        <v>0.843798380746413</v>
      </c>
      <c r="AJ27" s="1">
        <v>-0.98805842672498412</v>
      </c>
      <c r="AK27" s="1">
        <v>0.57951978415047056</v>
      </c>
      <c r="AL27" s="2">
        <v>0.80983596122206003</v>
      </c>
      <c r="AM27" s="2">
        <v>0.92192186103485008</v>
      </c>
      <c r="AN27" s="2">
        <v>2.70998808387992</v>
      </c>
      <c r="AO27" s="2">
        <v>0.51299804918428005</v>
      </c>
      <c r="AP27" s="2">
        <v>2.2965039378252801</v>
      </c>
      <c r="AQ27" s="2">
        <v>1.7522876185123601</v>
      </c>
      <c r="AR27" s="2">
        <v>1.1635822313450401</v>
      </c>
      <c r="AS27" s="2">
        <v>-1.0474836708230273</v>
      </c>
      <c r="AT27" s="2">
        <v>0.32350641142384995</v>
      </c>
      <c r="AU27" s="2">
        <v>0.66593990611832998</v>
      </c>
      <c r="AV27" s="2">
        <v>2.0156162057637399</v>
      </c>
      <c r="AW27" s="2">
        <v>1.38894528340252</v>
      </c>
      <c r="AX27" s="2">
        <v>-1.4248595598307601</v>
      </c>
      <c r="AY27" s="2">
        <v>0.22309062427736004</v>
      </c>
      <c r="AZ27" s="2">
        <v>0.85517690287204995</v>
      </c>
      <c r="BA27" s="2">
        <v>2.3055435856849993E-2</v>
      </c>
      <c r="BB27" s="2">
        <v>1.1297675663911602</v>
      </c>
      <c r="BC27" s="2">
        <v>1.1771625820367901</v>
      </c>
      <c r="BD27" s="2">
        <v>0.3687015253243377</v>
      </c>
      <c r="BE27" s="2">
        <v>1.2074067828714099</v>
      </c>
      <c r="BF27" s="2">
        <v>-0.24732695905595931</v>
      </c>
      <c r="BG27" s="2">
        <v>0.65590667174861994</v>
      </c>
      <c r="BH27" s="2">
        <v>1.10588965864112</v>
      </c>
      <c r="BI27" s="2">
        <v>-0.11980482427438199</v>
      </c>
      <c r="BJ27" s="2">
        <v>-0.59084464377412593</v>
      </c>
      <c r="BK27" s="2">
        <v>0.37359415497744997</v>
      </c>
      <c r="BL27" s="2">
        <v>2.1084302396580403</v>
      </c>
      <c r="BM27" s="2">
        <v>0.58604838583763996</v>
      </c>
      <c r="BN27" s="2">
        <v>0.97096359499270002</v>
      </c>
      <c r="BO27" s="2">
        <v>1.3252257806253398</v>
      </c>
      <c r="BP27" s="2">
        <v>1.2548877654279502</v>
      </c>
      <c r="BQ27" s="2">
        <v>1.2787339347159701</v>
      </c>
      <c r="BR27" s="2">
        <v>1.2478754181784202</v>
      </c>
      <c r="BS27" s="2">
        <v>1.83881429109033</v>
      </c>
      <c r="BT27" s="2">
        <v>-1.0644815862663364</v>
      </c>
      <c r="BU27" s="2">
        <v>-0.91465770366552002</v>
      </c>
      <c r="BV27" s="2">
        <v>-0.61827882021264902</v>
      </c>
      <c r="BW27" s="2">
        <v>-0.13470663694210405</v>
      </c>
      <c r="BY27">
        <f t="shared" si="0"/>
        <v>0.38455231272468793</v>
      </c>
      <c r="BZ27">
        <f t="shared" si="1"/>
        <v>0.68761611737870809</v>
      </c>
      <c r="CA27">
        <f t="shared" si="2"/>
        <v>0.81052927261201191</v>
      </c>
      <c r="CB27">
        <f t="shared" si="3"/>
        <v>0.19697209337541793</v>
      </c>
      <c r="CC27">
        <f t="shared" si="4"/>
        <v>-0.30306380465402022</v>
      </c>
      <c r="CD27">
        <f t="shared" si="5"/>
        <v>0.70559529948090094</v>
      </c>
      <c r="CE27" t="s">
        <v>63</v>
      </c>
      <c r="CH27" t="s">
        <v>54</v>
      </c>
      <c r="CI27">
        <v>-0.32148991062442622</v>
      </c>
      <c r="CJ27">
        <v>0.45196052362178885</v>
      </c>
    </row>
    <row r="28" spans="1:88" x14ac:dyDescent="0.2">
      <c r="A28" t="s">
        <v>64</v>
      </c>
      <c r="B28" s="1">
        <v>-0.31484142012694111</v>
      </c>
      <c r="C28" s="1">
        <v>-0.76261965815175903</v>
      </c>
      <c r="D28" s="1">
        <v>0.56164762496393594</v>
      </c>
      <c r="E28" s="1">
        <v>0.14998064969366989</v>
      </c>
      <c r="F28" s="1">
        <v>-0.1221299471794951</v>
      </c>
      <c r="G28" s="1">
        <v>-0.92924306903688114</v>
      </c>
      <c r="H28" s="1">
        <v>-1.5210493323503511</v>
      </c>
      <c r="I28" s="1">
        <v>-0.43283250475312912</v>
      </c>
      <c r="J28" s="1">
        <v>-0.36295496449595366</v>
      </c>
      <c r="K28" s="1">
        <v>-0.3564367533903654</v>
      </c>
      <c r="L28" s="1">
        <v>-1.0468910617237697</v>
      </c>
      <c r="M28" s="1">
        <v>-0.31633913165444272</v>
      </c>
      <c r="N28" s="1">
        <v>-0.87548418067815126</v>
      </c>
      <c r="O28" s="1">
        <v>-0.41743755946604916</v>
      </c>
      <c r="P28" s="1">
        <v>-0.90990448900082121</v>
      </c>
      <c r="Q28" s="1">
        <v>0.35802850299466393</v>
      </c>
      <c r="R28" s="1">
        <v>0.20798681214219109</v>
      </c>
      <c r="S28" s="1">
        <v>1.2220826283366903E-2</v>
      </c>
      <c r="T28" s="1">
        <v>-0.38568444845197608</v>
      </c>
      <c r="U28" s="1">
        <v>0.10992994871036119</v>
      </c>
      <c r="V28" s="1">
        <v>-0.1925586662883691</v>
      </c>
      <c r="W28" s="1">
        <v>-1.5003788665868611</v>
      </c>
      <c r="X28" s="1">
        <v>5.4213625379759892E-2</v>
      </c>
      <c r="Y28" s="1">
        <v>-1.2707883348869611</v>
      </c>
      <c r="Z28" s="1">
        <v>-1.5133352692026898</v>
      </c>
      <c r="AA28" s="1">
        <v>-1.4311420445260805</v>
      </c>
      <c r="AB28" s="1">
        <v>-1.0450391308388598</v>
      </c>
      <c r="AC28" s="1">
        <v>1.0468783202596503</v>
      </c>
      <c r="AD28" s="1">
        <v>-0.85427523972194974</v>
      </c>
      <c r="AE28" s="1">
        <v>-1.7137857280396196</v>
      </c>
      <c r="AF28" s="1">
        <v>-1.3321431393943597</v>
      </c>
      <c r="AG28" s="1">
        <v>0.38956068798010229</v>
      </c>
      <c r="AH28" s="1">
        <v>-9.1489941853937662E-2</v>
      </c>
      <c r="AI28" s="1">
        <v>-3.9615343725765695E-2</v>
      </c>
      <c r="AJ28" s="1">
        <v>1.8305197591839002</v>
      </c>
      <c r="AK28" s="1">
        <v>0.45993760890923663</v>
      </c>
      <c r="AL28" s="2">
        <v>-0.52588622138509533</v>
      </c>
      <c r="AM28" s="2">
        <v>0.48229899466535475</v>
      </c>
      <c r="AN28" s="2">
        <v>0.80876524342083467</v>
      </c>
      <c r="AO28" s="2">
        <v>0.4062724855468548</v>
      </c>
      <c r="AP28" s="2">
        <v>0.68110699681466469</v>
      </c>
      <c r="AQ28" s="2">
        <v>0.49705718149562472</v>
      </c>
      <c r="AR28" s="2">
        <v>-0.20927876018483427</v>
      </c>
      <c r="AS28" s="2">
        <v>-2.6438051588769054</v>
      </c>
      <c r="AT28" s="2">
        <v>-0.97463490642464023</v>
      </c>
      <c r="AU28" s="2">
        <v>-1.6661558260310811</v>
      </c>
      <c r="AV28" s="2">
        <v>0.85807127222509461</v>
      </c>
      <c r="AW28" s="2">
        <v>1.327970522618545</v>
      </c>
      <c r="AX28" s="2">
        <v>0.49086486935101481</v>
      </c>
      <c r="AY28" s="2">
        <v>0.7731311212950146</v>
      </c>
      <c r="AZ28" s="2">
        <v>-0.2929192095592153</v>
      </c>
      <c r="BA28" s="2">
        <v>-0.21832467155806035</v>
      </c>
      <c r="BB28" s="2">
        <v>1.2273389307144646</v>
      </c>
      <c r="BC28" s="2">
        <v>1.1912746521100348</v>
      </c>
      <c r="BD28" s="2">
        <v>-0.4147409461097894</v>
      </c>
      <c r="BE28" s="2">
        <v>8.3045006647227693E-2</v>
      </c>
      <c r="BF28" s="2">
        <v>0.2222306432419176</v>
      </c>
      <c r="BG28" s="2">
        <v>0.21586263669589167</v>
      </c>
      <c r="BH28" s="2">
        <v>0.30646239147685461</v>
      </c>
      <c r="BI28" s="2">
        <v>0.10725275215333774</v>
      </c>
      <c r="BJ28" s="2">
        <v>-1.6786556500979073</v>
      </c>
      <c r="BK28" s="2">
        <v>1.6727602790586715E-2</v>
      </c>
      <c r="BL28" s="2">
        <v>1.6347587258642946</v>
      </c>
      <c r="BM28" s="2">
        <v>0.92981091864615462</v>
      </c>
      <c r="BN28" s="2">
        <v>-1.7655616780774954</v>
      </c>
      <c r="BO28" s="2">
        <v>0.78214742393924463</v>
      </c>
      <c r="BP28" s="2">
        <v>0.67280945572594464</v>
      </c>
      <c r="BQ28" s="2">
        <v>0.77139095367666466</v>
      </c>
      <c r="BR28" s="2">
        <v>0.31242641882218469</v>
      </c>
      <c r="BS28" s="2">
        <v>1.5274802034262249</v>
      </c>
      <c r="BT28" s="2">
        <v>-1.1222352441144323</v>
      </c>
      <c r="BU28" s="2">
        <v>-0.50128597059220226</v>
      </c>
      <c r="BV28" s="2">
        <v>-2.3309876054720755</v>
      </c>
      <c r="BW28" s="2">
        <v>-1.5129963728930842</v>
      </c>
      <c r="BY28">
        <f t="shared" si="0"/>
        <v>-0.40437488497290847</v>
      </c>
      <c r="BZ28">
        <f t="shared" si="1"/>
        <v>1.2344452157558182E-2</v>
      </c>
      <c r="CA28">
        <f t="shared" si="2"/>
        <v>0.7491261885529259</v>
      </c>
      <c r="CB28">
        <f t="shared" si="3"/>
        <v>5.9638137347387217E-2</v>
      </c>
      <c r="CC28">
        <f t="shared" si="4"/>
        <v>-0.41671933713046649</v>
      </c>
      <c r="CD28">
        <f t="shared" si="5"/>
        <v>1.2244759291423148</v>
      </c>
      <c r="CE28" t="s">
        <v>64</v>
      </c>
      <c r="CH28" t="s">
        <v>72</v>
      </c>
      <c r="CI28">
        <v>-0.31130187888679345</v>
      </c>
      <c r="CJ28">
        <v>0.45101871364526047</v>
      </c>
    </row>
    <row r="29" spans="1:88" x14ac:dyDescent="0.2">
      <c r="A29" t="s">
        <v>65</v>
      </c>
      <c r="B29" s="1">
        <v>-0.14603487012133437</v>
      </c>
      <c r="C29" s="1">
        <v>-0.91003672791584633</v>
      </c>
      <c r="D29" s="1">
        <v>-0.72570371133319633</v>
      </c>
      <c r="E29" s="1">
        <v>-0.75773161402321942</v>
      </c>
      <c r="F29" s="1">
        <v>-1.8896586876601034</v>
      </c>
      <c r="G29" s="1">
        <v>-2.1725268371584332</v>
      </c>
      <c r="H29" s="1">
        <v>-2.2894509078157834</v>
      </c>
      <c r="I29" s="1">
        <v>-1.2137225968480734</v>
      </c>
      <c r="J29" s="1">
        <v>-1.4006983589081401</v>
      </c>
      <c r="K29" s="1">
        <v>-1.5264087277659932</v>
      </c>
      <c r="L29" s="1">
        <v>0.62647087077424102</v>
      </c>
      <c r="M29" s="1">
        <v>-0.88374712797332022</v>
      </c>
      <c r="N29" s="1">
        <v>-1.0429897348827635</v>
      </c>
      <c r="O29" s="1">
        <v>-0.42972553786356338</v>
      </c>
      <c r="P29" s="1">
        <v>-1.8941586843561433</v>
      </c>
      <c r="Q29" s="1">
        <v>1.3134903181112967</v>
      </c>
      <c r="R29" s="1">
        <v>-7.8214650756100373E-2</v>
      </c>
      <c r="S29" s="1">
        <v>-0.65668303107949233</v>
      </c>
      <c r="T29" s="1">
        <v>-1.1843265571938133</v>
      </c>
      <c r="U29" s="1">
        <v>-1.7640355447208134</v>
      </c>
      <c r="V29" s="1">
        <v>-1.8838326155247533</v>
      </c>
      <c r="W29" s="1">
        <v>-1.0766501132208535</v>
      </c>
      <c r="X29" s="1">
        <v>1.3579271934486565</v>
      </c>
      <c r="Y29" s="1">
        <v>-1.0519063391817034</v>
      </c>
      <c r="Z29" s="1">
        <v>-1.3052364500366902</v>
      </c>
      <c r="AA29" s="1">
        <v>-0.96333902631962443</v>
      </c>
      <c r="AB29" s="1">
        <v>-1.0767843718486003</v>
      </c>
      <c r="AC29" s="1">
        <v>-1.6014396366078001</v>
      </c>
      <c r="AD29" s="1">
        <v>-0.66824914246008027</v>
      </c>
      <c r="AE29" s="1">
        <v>-1.6439578934855004</v>
      </c>
      <c r="AF29" s="1">
        <v>-1.5442573721977702</v>
      </c>
      <c r="AG29" s="1">
        <v>-2.7469132145325998</v>
      </c>
      <c r="AH29" s="1">
        <v>-1.4783486643410402</v>
      </c>
      <c r="AI29" s="1">
        <v>-0.7253122581964202</v>
      </c>
      <c r="AJ29" s="1">
        <v>-0.21404777780588824</v>
      </c>
      <c r="AK29" s="1">
        <v>-3.3675765599010203</v>
      </c>
      <c r="AL29" s="2">
        <v>-0.65381307444649317</v>
      </c>
      <c r="AM29" s="2">
        <v>0.11279802295924379</v>
      </c>
      <c r="AN29" s="2">
        <v>-0.68599808522085526</v>
      </c>
      <c r="AO29" s="2">
        <v>0.10370773432455782</v>
      </c>
      <c r="AP29" s="2">
        <v>-1.9492944260643341</v>
      </c>
      <c r="AQ29" s="2">
        <v>-1.961345039620344</v>
      </c>
      <c r="AR29" s="2">
        <v>-0.4185851093221567</v>
      </c>
      <c r="AS29" s="2">
        <v>-0.38673463628891425</v>
      </c>
      <c r="AT29" s="2">
        <v>-0.84045259837178121</v>
      </c>
      <c r="AU29" s="2">
        <v>-1.5763198233626041</v>
      </c>
      <c r="AV29" s="2">
        <v>-2.3052900641464844</v>
      </c>
      <c r="AW29" s="2">
        <v>-0.64658622058280024</v>
      </c>
      <c r="AX29" s="2">
        <v>-2.5779561849997541</v>
      </c>
      <c r="AY29" s="2">
        <v>-1.7630418979009144</v>
      </c>
      <c r="AZ29" s="2">
        <v>-1.2852252104934463</v>
      </c>
      <c r="BA29" s="2">
        <v>-0.71029657129747925</v>
      </c>
      <c r="BB29" s="2">
        <v>-0.30987595337992724</v>
      </c>
      <c r="BC29" s="2">
        <v>1.7126854802581857</v>
      </c>
      <c r="BD29" s="2">
        <v>-0.7097552904311506</v>
      </c>
      <c r="BE29" s="2">
        <v>-3.2037365692050641</v>
      </c>
      <c r="BF29" s="2">
        <v>-0.44920727043216735</v>
      </c>
      <c r="BG29" s="2">
        <v>-0.16356005704791121</v>
      </c>
      <c r="BH29" s="2">
        <v>-2.416379658423164</v>
      </c>
      <c r="BI29" s="2">
        <v>-1.6558851098756242</v>
      </c>
      <c r="BJ29" s="2">
        <v>-1.9478429931302141</v>
      </c>
      <c r="BK29" s="2">
        <v>-0.66399503140060123</v>
      </c>
      <c r="BL29" s="2">
        <v>0.64055677318893578</v>
      </c>
      <c r="BM29" s="2">
        <v>1.2998704848668257</v>
      </c>
      <c r="BN29" s="2">
        <v>-2.1221651911487642</v>
      </c>
      <c r="BO29" s="2">
        <v>-1.1470699757697433</v>
      </c>
      <c r="BP29" s="2">
        <v>-1.0974507202321333</v>
      </c>
      <c r="BQ29" s="2">
        <v>-0.65273103174212621</v>
      </c>
      <c r="BR29" s="2">
        <v>-2.5885329193894191E-2</v>
      </c>
      <c r="BS29" s="2">
        <v>1.8870596437956557</v>
      </c>
      <c r="BT29" s="2">
        <v>-0.82681732672743224</v>
      </c>
      <c r="BU29" s="2">
        <v>-1.7923169928001341</v>
      </c>
      <c r="BV29" s="2">
        <v>-1.870361437351014</v>
      </c>
      <c r="BW29" s="2">
        <v>-1.6009620036676542</v>
      </c>
      <c r="BY29">
        <f t="shared" si="0"/>
        <v>-1.0837726933806187</v>
      </c>
      <c r="BZ29">
        <f t="shared" si="1"/>
        <v>-0.91211207222851753</v>
      </c>
      <c r="CA29">
        <f t="shared" si="2"/>
        <v>0.88782016307025713</v>
      </c>
      <c r="CB29">
        <f t="shared" si="3"/>
        <v>0.48657762616863065</v>
      </c>
      <c r="CC29">
        <f t="shared" si="4"/>
        <v>-0.17166062115210101</v>
      </c>
      <c r="CD29">
        <f t="shared" si="5"/>
        <v>0.31284786469188175</v>
      </c>
      <c r="CE29" t="s">
        <v>65</v>
      </c>
      <c r="CH29" t="s">
        <v>53</v>
      </c>
      <c r="CI29">
        <v>0.23503520570623521</v>
      </c>
      <c r="CJ29">
        <v>0.44911097282453594</v>
      </c>
    </row>
    <row r="30" spans="1:88" x14ac:dyDescent="0.2">
      <c r="A30" t="s">
        <v>66</v>
      </c>
      <c r="B30" s="1">
        <v>2.5605476526112727</v>
      </c>
      <c r="C30" s="1" t="s">
        <v>67</v>
      </c>
      <c r="D30" s="1">
        <v>2.439602086005793</v>
      </c>
      <c r="E30" s="1">
        <v>3.2376806260498929</v>
      </c>
      <c r="F30" s="1">
        <v>1.3901914283295529</v>
      </c>
      <c r="G30" s="1">
        <v>1.6005297841432229</v>
      </c>
      <c r="H30" s="1">
        <v>0.8142033623541669</v>
      </c>
      <c r="I30" s="1">
        <v>3.1724050565465429</v>
      </c>
      <c r="J30" s="1">
        <v>2.7622341835477719</v>
      </c>
      <c r="K30" s="1">
        <v>2.6130072469465411</v>
      </c>
      <c r="L30" s="1">
        <v>1.5835197834385619</v>
      </c>
      <c r="M30" s="1">
        <v>1.5003700316111619</v>
      </c>
      <c r="N30" s="1">
        <v>2.0353144763597228</v>
      </c>
      <c r="O30" s="1">
        <v>1.419129532264763</v>
      </c>
      <c r="P30" s="1">
        <v>3.808260993554943</v>
      </c>
      <c r="Q30" s="1">
        <v>2.9287632020205927</v>
      </c>
      <c r="R30" s="1">
        <v>3.215718128996623</v>
      </c>
      <c r="S30" s="1">
        <v>2.6345230962825328</v>
      </c>
      <c r="T30" s="1">
        <v>2.0450666114510629</v>
      </c>
      <c r="U30" s="1" t="s">
        <v>67</v>
      </c>
      <c r="V30" s="1">
        <v>4.2498712078798526</v>
      </c>
      <c r="W30" s="1">
        <v>4.974829815381673</v>
      </c>
      <c r="X30" s="1">
        <v>1.500815793287323</v>
      </c>
      <c r="Y30" s="1">
        <v>0.91626224103905285</v>
      </c>
      <c r="Z30" s="1">
        <v>0.2280743958622127</v>
      </c>
      <c r="AA30" s="1">
        <v>3.381126807370971</v>
      </c>
      <c r="AB30" s="1">
        <v>1.537466398900442</v>
      </c>
      <c r="AC30" s="1">
        <v>2.2750586351131821</v>
      </c>
      <c r="AD30" s="1">
        <v>3.124933373875312</v>
      </c>
      <c r="AE30" s="1">
        <v>1.145047811936678</v>
      </c>
      <c r="AF30" s="1">
        <v>1.629874061301122</v>
      </c>
      <c r="AG30" s="1">
        <v>2.7052455696493718</v>
      </c>
      <c r="AH30" s="1">
        <v>2.2540596827431418</v>
      </c>
      <c r="AI30" s="1">
        <v>2.115030195241812</v>
      </c>
      <c r="AJ30" s="1">
        <v>1.918416960462842</v>
      </c>
      <c r="AK30" s="1">
        <v>1.722315315204672</v>
      </c>
      <c r="AL30" s="2">
        <v>2.4776130396968337</v>
      </c>
      <c r="AM30" s="2">
        <v>1.9150078982408534</v>
      </c>
      <c r="AN30" s="2">
        <v>3.4267451510184634</v>
      </c>
      <c r="AO30" s="2">
        <v>1.4353540654479535</v>
      </c>
      <c r="AP30" s="2">
        <v>2.2842284043292636</v>
      </c>
      <c r="AQ30" s="2">
        <v>2.5665056027250936</v>
      </c>
      <c r="AR30" s="2">
        <v>2.6498535037913133</v>
      </c>
      <c r="AS30" s="2">
        <v>1.8540854455717732</v>
      </c>
      <c r="AT30" s="2">
        <v>1.1068373880058335</v>
      </c>
      <c r="AU30" s="2">
        <v>0.31361956657240542</v>
      </c>
      <c r="AV30" s="2">
        <v>2.8429558488804334</v>
      </c>
      <c r="AW30" s="2">
        <v>3.0290607127337537</v>
      </c>
      <c r="AX30" s="2">
        <v>0.46438492624875649</v>
      </c>
      <c r="AY30" s="2">
        <v>3.2716367157899136</v>
      </c>
      <c r="AZ30" s="2">
        <v>3.1317484525647634</v>
      </c>
      <c r="BA30" s="2">
        <v>2.9817204571866536</v>
      </c>
      <c r="BB30" s="2">
        <v>1.9576050743269535</v>
      </c>
      <c r="BC30" s="2">
        <v>3.6040981387146735</v>
      </c>
      <c r="BD30" s="2">
        <v>1.4805259693266961</v>
      </c>
      <c r="BE30" s="2">
        <v>1.4026519182443133</v>
      </c>
      <c r="BF30" s="2">
        <v>2.035387682011101</v>
      </c>
      <c r="BG30" s="2">
        <v>2.5725949147640934</v>
      </c>
      <c r="BH30" s="2">
        <v>2.8268369108861835</v>
      </c>
      <c r="BI30" s="2">
        <v>3.8590548504883837</v>
      </c>
      <c r="BJ30" s="2">
        <v>3.1915954446209533</v>
      </c>
      <c r="BK30" s="2">
        <v>2.6511036788134534</v>
      </c>
      <c r="BL30" s="2">
        <v>2.4489588317315634</v>
      </c>
      <c r="BM30" s="2">
        <v>2.8356605031451037</v>
      </c>
      <c r="BN30" s="2">
        <v>2.9814000796221936</v>
      </c>
      <c r="BO30" s="2">
        <v>3.9012736337896734</v>
      </c>
      <c r="BP30" s="2">
        <v>3.8705707893059631</v>
      </c>
      <c r="BQ30" s="2">
        <v>3.8114497746864138</v>
      </c>
      <c r="BR30" s="2" t="s">
        <v>67</v>
      </c>
      <c r="BS30" s="2">
        <v>3.3042756596926135</v>
      </c>
      <c r="BT30" s="2">
        <v>1.0342985717606734</v>
      </c>
      <c r="BU30" s="2">
        <v>2.4494552340402533</v>
      </c>
      <c r="BV30" s="2">
        <v>2.4922682254000437</v>
      </c>
      <c r="BW30" s="2">
        <v>2.4549539515105234</v>
      </c>
      <c r="BY30">
        <f t="shared" si="0"/>
        <v>2.2776322219930698</v>
      </c>
      <c r="BZ30">
        <f t="shared" si="1"/>
        <v>2.5112804598834018</v>
      </c>
      <c r="CA30">
        <f t="shared" si="2"/>
        <v>0.85048150166435366</v>
      </c>
      <c r="CB30">
        <f t="shared" si="3"/>
        <v>0.31427227748863051</v>
      </c>
      <c r="CC30">
        <f t="shared" si="4"/>
        <v>-0.23364823789033212</v>
      </c>
      <c r="CD30">
        <f t="shared" si="5"/>
        <v>0.50269392717433758</v>
      </c>
      <c r="CE30" t="s">
        <v>66</v>
      </c>
      <c r="CH30" t="s">
        <v>89</v>
      </c>
      <c r="CI30">
        <v>0.16850824422661215</v>
      </c>
      <c r="CJ30">
        <v>0.43073946147124559</v>
      </c>
    </row>
    <row r="31" spans="1:88" x14ac:dyDescent="0.2">
      <c r="A31" t="s">
        <v>68</v>
      </c>
      <c r="B31" s="1">
        <v>-0.25537636885201326</v>
      </c>
      <c r="C31" s="1">
        <v>0.51814331711186412</v>
      </c>
      <c r="D31" s="1">
        <v>1.3427850230762641</v>
      </c>
      <c r="E31" s="1">
        <v>1.9650581675243342</v>
      </c>
      <c r="F31" s="1">
        <v>1.2084058985571942</v>
      </c>
      <c r="G31" s="1">
        <v>0.55952800420861215</v>
      </c>
      <c r="H31" s="1">
        <v>0.93769534896558415</v>
      </c>
      <c r="I31" s="1">
        <v>1.1915532407733742</v>
      </c>
      <c r="J31" s="1">
        <v>-0.18777132373636363</v>
      </c>
      <c r="K31" s="1">
        <v>1.4900166006003888</v>
      </c>
      <c r="L31" s="1">
        <v>-0.51939774013428663</v>
      </c>
      <c r="M31" s="1">
        <v>-1.6738952776491156</v>
      </c>
      <c r="N31" s="1">
        <v>0.95794781036452403</v>
      </c>
      <c r="O31" s="1">
        <v>0.42442311148761913</v>
      </c>
      <c r="P31" s="1">
        <v>1.7558828184521442</v>
      </c>
      <c r="Q31" s="1">
        <v>1.3423293390903241</v>
      </c>
      <c r="R31" s="1">
        <v>1.872762567495484</v>
      </c>
      <c r="S31" s="1">
        <v>1.3319720823230841</v>
      </c>
      <c r="T31" s="1">
        <v>1.2804737497586742</v>
      </c>
      <c r="U31" s="1">
        <v>1.0056322693821742</v>
      </c>
      <c r="V31" s="1">
        <v>2.2215261261225345</v>
      </c>
      <c r="W31" s="1">
        <v>0.12179524779172812</v>
      </c>
      <c r="X31" s="1">
        <v>2.1018544380446542</v>
      </c>
      <c r="Y31" s="1">
        <v>1.1549420550964442</v>
      </c>
      <c r="Z31" s="1">
        <v>-0.37586539643003958</v>
      </c>
      <c r="AA31" s="1">
        <v>-0.2193518492652532</v>
      </c>
      <c r="AB31" s="1">
        <v>-0.12574903188973158</v>
      </c>
      <c r="AC31" s="1">
        <v>1.6981463057444044</v>
      </c>
      <c r="AD31" s="1">
        <v>-0.48119005158186356</v>
      </c>
      <c r="AE31" s="1">
        <v>0.64659838073078535</v>
      </c>
      <c r="AF31" s="1">
        <v>0.60766918725596841</v>
      </c>
      <c r="AG31" s="1">
        <v>1.6393180832312444</v>
      </c>
      <c r="AH31" s="1">
        <v>0.93646866561203945</v>
      </c>
      <c r="AI31" s="1">
        <v>0.6322978223738065</v>
      </c>
      <c r="AJ31" s="1">
        <v>1.1096789044350586</v>
      </c>
      <c r="AK31" s="1">
        <v>-0.14822506630137455</v>
      </c>
      <c r="AL31" s="2">
        <v>-0.29382306079348497</v>
      </c>
      <c r="AM31" s="2">
        <v>0.81741835366945603</v>
      </c>
      <c r="AN31" s="2">
        <v>1.8519808772180362</v>
      </c>
      <c r="AO31" s="2">
        <v>1.2595635034636361</v>
      </c>
      <c r="AP31" s="2">
        <v>-0.25820854634529122</v>
      </c>
      <c r="AQ31" s="2">
        <v>1.0910379348125159</v>
      </c>
      <c r="AR31" s="2">
        <v>1.3460494848100959</v>
      </c>
      <c r="AS31" s="2">
        <v>-1.1147575897104789</v>
      </c>
      <c r="AT31" s="2">
        <v>-0.11266969994054574</v>
      </c>
      <c r="AU31" s="2">
        <v>-6.7288859602284243E-2</v>
      </c>
      <c r="AV31" s="2">
        <v>-0.18359748604947043</v>
      </c>
      <c r="AW31" s="2">
        <v>0.91758498592588611</v>
      </c>
      <c r="AX31" s="2">
        <v>-0.22441232777378123</v>
      </c>
      <c r="AY31" s="2">
        <v>2.2205304100624463</v>
      </c>
      <c r="AZ31" s="2">
        <v>1.2778474232458961</v>
      </c>
      <c r="BA31" s="2">
        <v>1.3773354350895661</v>
      </c>
      <c r="BB31" s="2">
        <v>1.8518010637930762</v>
      </c>
      <c r="BC31" s="2">
        <v>2.7941890544125463</v>
      </c>
      <c r="BD31" s="2">
        <v>1.3605984505897688</v>
      </c>
      <c r="BE31" s="2">
        <v>-0.47862139045741992</v>
      </c>
      <c r="BF31" s="2">
        <v>0.68187815529424445</v>
      </c>
      <c r="BG31" s="2">
        <v>2.0837867101215464</v>
      </c>
      <c r="BH31" s="2">
        <v>-0.33047463482709893</v>
      </c>
      <c r="BI31" s="2">
        <v>2.350770978822176</v>
      </c>
      <c r="BJ31" s="2" t="s">
        <v>67</v>
      </c>
      <c r="BK31" s="2">
        <v>1.059915925929106</v>
      </c>
      <c r="BL31" s="2">
        <v>2.1662737644475363</v>
      </c>
      <c r="BM31" s="2">
        <v>1.2312943065726363</v>
      </c>
      <c r="BN31" s="2">
        <v>0.22999023943667307</v>
      </c>
      <c r="BO31" s="2">
        <v>-0.22387001034550663</v>
      </c>
      <c r="BP31" s="2">
        <v>-0.28259071612428893</v>
      </c>
      <c r="BQ31" s="2">
        <v>1.7137985064100962</v>
      </c>
      <c r="BR31" s="2">
        <v>3.150172810966656</v>
      </c>
      <c r="BS31" s="2">
        <v>3.5225074579679663</v>
      </c>
      <c r="BT31" s="2">
        <v>0.43167472400492002</v>
      </c>
      <c r="BU31" s="2">
        <v>0.913744368194226</v>
      </c>
      <c r="BV31" s="2">
        <v>1.0248861194705561</v>
      </c>
      <c r="BW31" s="2">
        <v>0.58637936718340911</v>
      </c>
      <c r="BY31">
        <f t="shared" si="0"/>
        <v>0.77966895721584095</v>
      </c>
      <c r="BZ31">
        <f t="shared" si="1"/>
        <v>0.96601881324175753</v>
      </c>
      <c r="CA31">
        <f t="shared" si="2"/>
        <v>0.87882641815289297</v>
      </c>
      <c r="CB31">
        <f t="shared" si="3"/>
        <v>0.42859109774828186</v>
      </c>
      <c r="CC31">
        <f t="shared" si="4"/>
        <v>-0.18634985602591658</v>
      </c>
      <c r="CD31">
        <f t="shared" si="5"/>
        <v>0.36795685391703137</v>
      </c>
      <c r="CE31" t="s">
        <v>68</v>
      </c>
      <c r="CH31" t="s">
        <v>62</v>
      </c>
      <c r="CI31">
        <v>-0.22071066285027607</v>
      </c>
      <c r="CJ31">
        <v>0.42726255600901042</v>
      </c>
    </row>
    <row r="32" spans="1:88" x14ac:dyDescent="0.2">
      <c r="A32" t="s">
        <v>69</v>
      </c>
      <c r="B32" s="1">
        <v>0.42924532344672361</v>
      </c>
      <c r="C32" s="1">
        <v>1.5762306033524038</v>
      </c>
      <c r="D32" s="1">
        <v>0.20042312672133411</v>
      </c>
      <c r="E32" s="1">
        <v>0.64261116013968955</v>
      </c>
      <c r="F32" s="1">
        <v>0.73437034346590657</v>
      </c>
      <c r="G32" s="1">
        <v>3.7441690158015239</v>
      </c>
      <c r="H32" s="1">
        <v>0.76352805973419868</v>
      </c>
      <c r="I32" s="1">
        <v>2.9248196492784837</v>
      </c>
      <c r="J32" s="1">
        <v>1.7057308670111444</v>
      </c>
      <c r="K32" s="1">
        <v>0.30509850169767483</v>
      </c>
      <c r="L32" s="1">
        <v>0.44528640738706138</v>
      </c>
      <c r="M32" s="1">
        <v>-9.4807161005636631E-2</v>
      </c>
      <c r="N32" s="1">
        <v>0.59774922584757062</v>
      </c>
      <c r="O32" s="1">
        <v>-3.9207363626195368E-2</v>
      </c>
      <c r="P32" s="1">
        <v>1.0682138806414996</v>
      </c>
      <c r="Q32" s="1">
        <v>0.46377453682295261</v>
      </c>
      <c r="R32" s="1">
        <v>1.0654841691776247</v>
      </c>
      <c r="S32" s="1">
        <v>0.62023614544760863</v>
      </c>
      <c r="T32" s="1">
        <v>0.30829627951993471</v>
      </c>
      <c r="U32" s="1">
        <v>0.69185464840948563</v>
      </c>
      <c r="V32" s="1">
        <v>0.44327090832152161</v>
      </c>
      <c r="W32" s="1">
        <v>1.2320042607317347</v>
      </c>
      <c r="X32" s="1">
        <v>0.14254405005291562</v>
      </c>
      <c r="Y32" s="1">
        <v>0.40888723449958664</v>
      </c>
      <c r="Z32" s="1">
        <v>0.52035791110996032</v>
      </c>
      <c r="AA32" s="1">
        <v>0.33261599779211887</v>
      </c>
      <c r="AB32" s="1">
        <v>0.80192172284393337</v>
      </c>
      <c r="AC32" s="1">
        <v>1.0510542063231434</v>
      </c>
      <c r="AD32" s="1">
        <v>1.3216038802276344</v>
      </c>
      <c r="AE32" s="1">
        <v>1.3821030039936244</v>
      </c>
      <c r="AF32" s="1">
        <v>0.7123458915884433</v>
      </c>
      <c r="AG32" s="1">
        <v>0.38906964726317639</v>
      </c>
      <c r="AH32" s="1">
        <v>0.7110995329366474</v>
      </c>
      <c r="AI32" s="1">
        <v>0.89714212938048843</v>
      </c>
      <c r="AJ32" s="1">
        <v>-0.42610072648479158</v>
      </c>
      <c r="AK32" s="1">
        <v>0.42635316420095637</v>
      </c>
      <c r="AL32" s="2">
        <v>0.10787812579984879</v>
      </c>
      <c r="AM32" s="2">
        <v>0.44365278980651379</v>
      </c>
      <c r="AN32" s="2">
        <v>1.3128415948009939</v>
      </c>
      <c r="AO32" s="2">
        <v>0.58529412917241375</v>
      </c>
      <c r="AP32" s="2">
        <v>0.61594795133665381</v>
      </c>
      <c r="AQ32" s="2">
        <v>3.2073704506664691E-2</v>
      </c>
      <c r="AR32" s="2">
        <v>0.9806225803244738</v>
      </c>
      <c r="AS32" s="2">
        <v>0.24084659363907079</v>
      </c>
      <c r="AT32" s="2">
        <v>-6.6086484150753244E-2</v>
      </c>
      <c r="AU32" s="2">
        <v>1.4066562432736736</v>
      </c>
      <c r="AV32" s="2">
        <v>0.69393413932900383</v>
      </c>
      <c r="AW32" s="2">
        <v>0.15112329564539773</v>
      </c>
      <c r="AX32" s="2">
        <v>0.89573246459772371</v>
      </c>
      <c r="AY32" s="2">
        <v>1.1741047324220837</v>
      </c>
      <c r="AZ32" s="2">
        <v>0.28859415278331368</v>
      </c>
      <c r="BA32" s="2">
        <v>0.53711250421306367</v>
      </c>
      <c r="BB32" s="2">
        <v>0.51583441832248378</v>
      </c>
      <c r="BC32" s="2">
        <v>0.96642600090970376</v>
      </c>
      <c r="BD32" s="2">
        <v>1.7080152776187951</v>
      </c>
      <c r="BE32" s="2">
        <v>1.2757845264809138</v>
      </c>
      <c r="BF32" s="2">
        <v>1.419715265587655</v>
      </c>
      <c r="BG32" s="2">
        <v>0.35746997982922379</v>
      </c>
      <c r="BH32" s="2">
        <v>1.1114564379922438</v>
      </c>
      <c r="BI32" s="2">
        <v>0.58950306804839381</v>
      </c>
      <c r="BJ32" s="2">
        <v>0.29909103245924173</v>
      </c>
      <c r="BK32" s="2">
        <v>0.96030506894819367</v>
      </c>
      <c r="BL32" s="2">
        <v>0.84176577449175383</v>
      </c>
      <c r="BM32" s="2">
        <v>0.93989039947182385</v>
      </c>
      <c r="BN32" s="2">
        <v>0.69893134523375366</v>
      </c>
      <c r="BO32" s="2">
        <v>0.71645546537998384</v>
      </c>
      <c r="BP32" s="2">
        <v>0.15811456087083675</v>
      </c>
      <c r="BQ32" s="2">
        <v>0.45244645202939371</v>
      </c>
      <c r="BR32" s="2">
        <v>1.1225624330204336</v>
      </c>
      <c r="BS32" s="2">
        <v>1.1618529846884336</v>
      </c>
      <c r="BT32" s="2">
        <v>0.79967454081125366</v>
      </c>
      <c r="BU32" s="2">
        <v>0.80671293662604382</v>
      </c>
      <c r="BV32" s="2">
        <v>1.2441981751680138</v>
      </c>
      <c r="BW32" s="2">
        <v>0.62160870417939373</v>
      </c>
      <c r="BY32">
        <f t="shared" si="0"/>
        <v>0.79164945094589134</v>
      </c>
      <c r="BZ32">
        <f t="shared" si="1"/>
        <v>0.74126693067547644</v>
      </c>
      <c r="CA32">
        <f t="shared" si="2"/>
        <v>1.0355394533237832</v>
      </c>
      <c r="CB32">
        <f t="shared" si="3"/>
        <v>0.73461224104104927</v>
      </c>
      <c r="CC32">
        <f t="shared" si="4"/>
        <v>5.0382520270414864E-2</v>
      </c>
      <c r="CD32">
        <f t="shared" si="5"/>
        <v>0.1339418391648505</v>
      </c>
      <c r="CE32" t="s">
        <v>69</v>
      </c>
      <c r="CH32" t="s">
        <v>109</v>
      </c>
      <c r="CI32">
        <v>0.14212453996133573</v>
      </c>
      <c r="CJ32">
        <v>0.41694161725596596</v>
      </c>
    </row>
    <row r="33" spans="1:88" x14ac:dyDescent="0.2">
      <c r="A33" t="s">
        <v>70</v>
      </c>
      <c r="B33" s="1">
        <v>-0.32662461080787319</v>
      </c>
      <c r="C33" s="1">
        <v>4.0598303822144854E-2</v>
      </c>
      <c r="D33" s="1">
        <v>1.5011593732544199</v>
      </c>
      <c r="E33" s="1">
        <v>0.71189748357105476</v>
      </c>
      <c r="F33" s="1">
        <v>-0.36042256577942611</v>
      </c>
      <c r="G33" s="1">
        <v>-2.39896933641222</v>
      </c>
      <c r="H33" s="1">
        <v>1.0858505990999747</v>
      </c>
      <c r="I33" s="1">
        <v>1.7718793929762899</v>
      </c>
      <c r="J33" s="1">
        <v>0.53884750708844764</v>
      </c>
      <c r="K33" s="1">
        <v>1.3620264857512399</v>
      </c>
      <c r="L33" s="1">
        <v>0.84490575183559158</v>
      </c>
      <c r="M33" s="1">
        <v>2.4611113972328829</v>
      </c>
      <c r="N33" s="1">
        <v>0.73741239048039986</v>
      </c>
      <c r="O33" s="1">
        <v>0.8820599351498688</v>
      </c>
      <c r="P33" s="1">
        <v>0.81825161530067381</v>
      </c>
      <c r="Q33" s="1">
        <v>0.31918523702619722</v>
      </c>
      <c r="R33" s="1">
        <v>0.79704494623419286</v>
      </c>
      <c r="S33" s="1">
        <v>2.48847592111946</v>
      </c>
      <c r="T33" s="1">
        <v>0.91672764911193683</v>
      </c>
      <c r="U33" s="1">
        <v>0.15320060948267983</v>
      </c>
      <c r="V33" s="1">
        <v>3.52390070834119</v>
      </c>
      <c r="W33" s="1">
        <v>-1.1453926270197101</v>
      </c>
      <c r="X33" s="1">
        <v>0.24753674081864285</v>
      </c>
      <c r="Y33" s="1">
        <v>4.3325354736834853E-2</v>
      </c>
      <c r="Z33" s="1">
        <v>-0.14978262169056733</v>
      </c>
      <c r="AA33" s="1">
        <v>0.41514245129370875</v>
      </c>
      <c r="AB33" s="1">
        <v>2.6565358457872126</v>
      </c>
      <c r="AC33" s="1">
        <v>1.7537106749228726</v>
      </c>
      <c r="AD33" s="1">
        <v>0.91765759059135366</v>
      </c>
      <c r="AE33" s="1">
        <v>1.1521416681903867</v>
      </c>
      <c r="AF33" s="1">
        <v>0.45979233588177115</v>
      </c>
      <c r="AG33" s="1">
        <v>0.60630221518197569</v>
      </c>
      <c r="AH33" s="1">
        <v>1.2812339854820827</v>
      </c>
      <c r="AI33" s="1">
        <v>4.8171448027861663E-2</v>
      </c>
      <c r="AJ33" s="1">
        <v>0.20897969069461167</v>
      </c>
      <c r="AK33" s="1">
        <v>1.5541314754850726</v>
      </c>
      <c r="AL33" s="2">
        <v>-0.2319222143758517</v>
      </c>
      <c r="AM33" s="2">
        <v>1.0415517827660343</v>
      </c>
      <c r="AN33" s="2">
        <v>2.1909503895209843</v>
      </c>
      <c r="AO33" s="2">
        <v>0.99491720494763425</v>
      </c>
      <c r="AP33" s="2">
        <v>1.2860591328526143</v>
      </c>
      <c r="AQ33" s="2">
        <v>0.78988976304640435</v>
      </c>
      <c r="AR33" s="2">
        <v>1.4671914708632443</v>
      </c>
      <c r="AS33" s="2">
        <v>-1.1681677123655827</v>
      </c>
      <c r="AT33" s="2">
        <v>-1.2999594098111178</v>
      </c>
      <c r="AU33" s="2">
        <v>0.20038802878487427</v>
      </c>
      <c r="AV33" s="2">
        <v>1.2272579031005544</v>
      </c>
      <c r="AW33" s="2">
        <v>2.2162162823908043</v>
      </c>
      <c r="AX33" s="2">
        <v>8.1072120730173225E-2</v>
      </c>
      <c r="AY33" s="2">
        <v>1.2819809231595942</v>
      </c>
      <c r="AZ33" s="2">
        <v>1.6828043522472245</v>
      </c>
      <c r="BA33" s="2">
        <v>1.0650161941068943</v>
      </c>
      <c r="BB33" s="2">
        <v>1.0135984015943642</v>
      </c>
      <c r="BC33" s="2">
        <v>1.7942552228137945</v>
      </c>
      <c r="BD33" s="2">
        <v>1.9009922454027679</v>
      </c>
      <c r="BE33" s="2">
        <v>1.5669001136346441</v>
      </c>
      <c r="BF33" s="2">
        <v>1.3297779350712702</v>
      </c>
      <c r="BG33" s="2">
        <v>0.13313989902814927</v>
      </c>
      <c r="BH33" s="2">
        <v>1.2689774592354943</v>
      </c>
      <c r="BI33" s="2">
        <v>1.1545351511903543</v>
      </c>
      <c r="BJ33" s="2">
        <v>0.83907471022367419</v>
      </c>
      <c r="BK33" s="2">
        <v>1.6055575367080144</v>
      </c>
      <c r="BL33" s="2">
        <v>2.737979521199974</v>
      </c>
      <c r="BM33" s="2">
        <v>1.4340768861788742</v>
      </c>
      <c r="BN33" s="2">
        <v>1.9101766417318744</v>
      </c>
      <c r="BO33" s="2">
        <v>0.86974088356851431</v>
      </c>
      <c r="BP33" s="2">
        <v>-0.68860882257586675</v>
      </c>
      <c r="BQ33" s="2">
        <v>0.52127084404570434</v>
      </c>
      <c r="BR33" s="2">
        <v>1.7154185272927041</v>
      </c>
      <c r="BS33" s="2">
        <v>0.4240836823988543</v>
      </c>
      <c r="BT33" s="2">
        <v>-0.1948057855754407</v>
      </c>
      <c r="BU33" s="2">
        <v>0.40224591037674418</v>
      </c>
      <c r="BV33" s="2">
        <v>1.3243841077307741</v>
      </c>
      <c r="BW33" s="2">
        <v>-0.10815661221541872</v>
      </c>
      <c r="BY33">
        <f t="shared" si="0"/>
        <v>0.775500139507312</v>
      </c>
      <c r="BZ33">
        <f t="shared" si="1"/>
        <v>0.94157528081642883</v>
      </c>
      <c r="CA33">
        <f t="shared" si="2"/>
        <v>0.89126407410201047</v>
      </c>
      <c r="CB33">
        <f t="shared" si="3"/>
        <v>0.47967574748450581</v>
      </c>
      <c r="CC33">
        <f t="shared" si="4"/>
        <v>-0.16607514130911696</v>
      </c>
      <c r="CD33">
        <f t="shared" si="5"/>
        <v>0.3190522390073478</v>
      </c>
      <c r="CE33" t="s">
        <v>70</v>
      </c>
      <c r="CH33" t="s">
        <v>99</v>
      </c>
      <c r="CI33">
        <v>-0.21368425056529844</v>
      </c>
      <c r="CJ33">
        <v>0.41483234030255278</v>
      </c>
    </row>
    <row r="34" spans="1:88" x14ac:dyDescent="0.2">
      <c r="A34" t="s">
        <v>71</v>
      </c>
      <c r="B34" s="1">
        <v>-0.9109025169885222</v>
      </c>
      <c r="C34" s="1">
        <v>-0.32213499379277821</v>
      </c>
      <c r="D34" s="1">
        <v>-1.2277401840880624</v>
      </c>
      <c r="E34" s="1">
        <v>-1.3474267921131622</v>
      </c>
      <c r="F34" s="1">
        <v>-1.5040975602901123</v>
      </c>
      <c r="G34" s="1">
        <v>-1.2385604751959223</v>
      </c>
      <c r="H34" s="1">
        <v>-1.6438760780802024</v>
      </c>
      <c r="I34" s="1">
        <v>-0.94687765307708227</v>
      </c>
      <c r="J34" s="1">
        <v>-1.1955208399088977</v>
      </c>
      <c r="K34" s="1">
        <v>-1.2061121893276243</v>
      </c>
      <c r="L34" s="1">
        <v>-2.307468352327898</v>
      </c>
      <c r="M34" s="1">
        <v>-0.91878683396592786</v>
      </c>
      <c r="N34" s="1">
        <v>-0.80368292268739216</v>
      </c>
      <c r="O34" s="1">
        <v>-8.5736138585891186E-2</v>
      </c>
      <c r="P34" s="1">
        <v>-1.3065254943420523</v>
      </c>
      <c r="Q34" s="1">
        <v>-1.6586875117534725</v>
      </c>
      <c r="R34" s="1">
        <v>-1.7922672621556024</v>
      </c>
      <c r="S34" s="1">
        <v>-1.276997686254242</v>
      </c>
      <c r="T34" s="1">
        <v>-0.97924237144317228</v>
      </c>
      <c r="U34" s="1">
        <v>-1.3904516969100222</v>
      </c>
      <c r="V34" s="1">
        <v>-1.112646445049132</v>
      </c>
      <c r="W34" s="1">
        <v>-1.1816576006621622</v>
      </c>
      <c r="X34" s="1">
        <v>-0.18674582382794425</v>
      </c>
      <c r="Y34" s="1">
        <v>-0.72601666125726216</v>
      </c>
      <c r="Z34" s="1">
        <v>-0.43866980933309796</v>
      </c>
      <c r="AA34" s="1">
        <v>-0.39660772135766348</v>
      </c>
      <c r="AB34" s="1">
        <v>-1.0011385053820381</v>
      </c>
      <c r="AC34" s="1">
        <v>-0.48236489418710782</v>
      </c>
      <c r="AD34" s="1">
        <v>-0.13195581614833785</v>
      </c>
      <c r="AE34" s="1">
        <v>-1.4485822908924679</v>
      </c>
      <c r="AF34" s="1">
        <v>-1.4924186260501782</v>
      </c>
      <c r="AG34" s="1">
        <v>-1.8963723955735681</v>
      </c>
      <c r="AH34" s="1">
        <v>-1.036256195874218</v>
      </c>
      <c r="AI34" s="1">
        <v>-1.2758724608260477</v>
      </c>
      <c r="AJ34" s="1">
        <v>-1.4799283247802979</v>
      </c>
      <c r="AK34" s="1">
        <v>-1.4778755758695081</v>
      </c>
      <c r="AL34" s="2">
        <v>-1.2678984007334428</v>
      </c>
      <c r="AM34" s="2">
        <v>-1.8231617883916469</v>
      </c>
      <c r="AN34" s="2">
        <v>5.9046113964900115E-2</v>
      </c>
      <c r="AO34" s="2">
        <v>-1.7337113826333259</v>
      </c>
      <c r="AP34" s="2">
        <v>0.21734499429412313</v>
      </c>
      <c r="AQ34" s="2">
        <v>-0.68134438249490681</v>
      </c>
      <c r="AR34" s="2">
        <v>-0.33101177062559084</v>
      </c>
      <c r="AS34" s="2">
        <v>-1.5396467714612638</v>
      </c>
      <c r="AT34" s="2">
        <v>-0.8681067612062533</v>
      </c>
      <c r="AU34" s="2">
        <v>-0.57104868384101293</v>
      </c>
      <c r="AV34" s="2">
        <v>1.7551434601498133</v>
      </c>
      <c r="AW34" s="2">
        <v>-0.56583692689732779</v>
      </c>
      <c r="AX34" s="2">
        <v>-1.8622323959819971</v>
      </c>
      <c r="AY34" s="2">
        <v>-1.0087093163232987</v>
      </c>
      <c r="AZ34" s="2">
        <v>-0.54695223590602882</v>
      </c>
      <c r="BA34" s="2">
        <v>-1.3563244338502549</v>
      </c>
      <c r="BB34" s="2">
        <v>-1.6139342437129469</v>
      </c>
      <c r="BC34" s="2">
        <v>-1.0944227995346307</v>
      </c>
      <c r="BD34" s="2">
        <v>-0.91583261741675448</v>
      </c>
      <c r="BE34" s="2">
        <v>-0.83143453783287091</v>
      </c>
      <c r="BF34" s="2">
        <v>-1.8415558972696586</v>
      </c>
      <c r="BG34" s="2">
        <v>-1.5146559670456727</v>
      </c>
      <c r="BH34" s="2">
        <v>-0.94539727398549389</v>
      </c>
      <c r="BI34" s="2">
        <v>-2.0557524573638468</v>
      </c>
      <c r="BJ34" s="2">
        <v>-1.466132085641322</v>
      </c>
      <c r="BK34" s="2">
        <v>-1.617751956122508</v>
      </c>
      <c r="BL34" s="2">
        <v>-1.3164143057268338</v>
      </c>
      <c r="BM34" s="2">
        <v>-1.7642986615790879</v>
      </c>
      <c r="BN34" s="2">
        <v>-1.0109298575254748</v>
      </c>
      <c r="BO34" s="2">
        <v>0.20007112303023311</v>
      </c>
      <c r="BP34" s="2">
        <v>-0.78769662267906104</v>
      </c>
      <c r="BQ34" s="2">
        <v>-0.84072480897707702</v>
      </c>
      <c r="BR34" s="2">
        <v>-0.38444722234096185</v>
      </c>
      <c r="BS34" s="2">
        <v>-0.78677675496304056</v>
      </c>
      <c r="BT34" s="2">
        <v>-1.4915340706840987</v>
      </c>
      <c r="BU34" s="2">
        <v>-1.4212361324166758</v>
      </c>
      <c r="BV34" s="2">
        <v>-0.73640042699756603</v>
      </c>
      <c r="BW34" s="2">
        <v>-1.454805339433356</v>
      </c>
      <c r="BY34">
        <f t="shared" si="0"/>
        <v>-1.1063390194544189</v>
      </c>
      <c r="BZ34">
        <f t="shared" si="1"/>
        <v>-0.99517141047779523</v>
      </c>
      <c r="CA34">
        <f t="shared" si="2"/>
        <v>0.92583845450637114</v>
      </c>
      <c r="CB34">
        <f t="shared" si="3"/>
        <v>0.45358688481261444</v>
      </c>
      <c r="CC34">
        <f t="shared" si="4"/>
        <v>-0.11116760897662357</v>
      </c>
      <c r="CD34">
        <f t="shared" si="5"/>
        <v>0.34333951129296275</v>
      </c>
      <c r="CE34" t="s">
        <v>71</v>
      </c>
      <c r="CH34" t="s">
        <v>98</v>
      </c>
      <c r="CI34">
        <v>-0.13662571894442455</v>
      </c>
      <c r="CJ34">
        <v>0.40885366684685814</v>
      </c>
    </row>
    <row r="35" spans="1:88" x14ac:dyDescent="0.2">
      <c r="A35" t="s">
        <v>72</v>
      </c>
      <c r="B35" s="1">
        <v>1.1426208905561939</v>
      </c>
      <c r="C35" s="1">
        <v>1.6367469396890137</v>
      </c>
      <c r="D35" s="1">
        <v>1.1614154524317837</v>
      </c>
      <c r="E35" s="1">
        <v>3.1360680037093438</v>
      </c>
      <c r="F35" s="1">
        <v>3.8551655307893236</v>
      </c>
      <c r="G35" s="1">
        <v>2.5297832114832737</v>
      </c>
      <c r="H35" s="1">
        <v>0.74754931213336384</v>
      </c>
      <c r="I35" s="1">
        <v>2.2043702105058238</v>
      </c>
      <c r="J35" s="1">
        <v>1.8521903204772525</v>
      </c>
      <c r="K35" s="1">
        <v>2.7212987839685017</v>
      </c>
      <c r="L35" s="1">
        <v>2.3969458547762525</v>
      </c>
      <c r="M35" s="1">
        <v>0.74199008991257864</v>
      </c>
      <c r="N35" s="1">
        <v>1.2175913753195737</v>
      </c>
      <c r="O35" s="1">
        <v>-0.10889023840219123</v>
      </c>
      <c r="P35" s="1">
        <v>6.4882315817048131</v>
      </c>
      <c r="Q35" s="1">
        <v>4.2593335830627836</v>
      </c>
      <c r="R35" s="1">
        <v>3.1284034757875339</v>
      </c>
      <c r="S35" s="1">
        <v>2.9107937770669237</v>
      </c>
      <c r="T35" s="1">
        <v>0.78369751703005375</v>
      </c>
      <c r="U35" s="1">
        <v>3.0730829967285236</v>
      </c>
      <c r="V35" s="1">
        <v>1.6222191298775137</v>
      </c>
      <c r="W35" s="1">
        <v>1.8219659297780439</v>
      </c>
      <c r="X35" s="1">
        <v>3.4558186324771638</v>
      </c>
      <c r="Y35" s="1">
        <v>4.3324091858246945</v>
      </c>
      <c r="Z35" s="1">
        <v>-0.99940716032412746</v>
      </c>
      <c r="AA35" s="1">
        <v>0.55307857798401283</v>
      </c>
      <c r="AB35" s="1">
        <v>3.0829540196521728</v>
      </c>
      <c r="AC35" s="1">
        <v>2.1221316004014028</v>
      </c>
      <c r="AD35" s="1">
        <v>2.6910685688395626</v>
      </c>
      <c r="AE35" s="1">
        <v>3.6694229642045126</v>
      </c>
      <c r="AF35" s="1">
        <v>3.0017639621239627</v>
      </c>
      <c r="AG35" s="1">
        <v>2.9022278313566825</v>
      </c>
      <c r="AH35" s="1">
        <v>3.8765543855911728</v>
      </c>
      <c r="AI35" s="1">
        <v>0.80434670210683656</v>
      </c>
      <c r="AJ35" s="1">
        <v>3.8919071247051824</v>
      </c>
      <c r="AK35" s="1">
        <v>4.2623311749494519</v>
      </c>
      <c r="AL35" s="2">
        <v>2.4376006641133565</v>
      </c>
      <c r="AM35" s="2">
        <v>5.436673380294887</v>
      </c>
      <c r="AN35" s="2">
        <v>4.1698019839625262</v>
      </c>
      <c r="AO35" s="2">
        <v>2.9885079954277565</v>
      </c>
      <c r="AP35" s="2">
        <v>0.99727382695125666</v>
      </c>
      <c r="AQ35" s="2">
        <v>1.8620984936946665</v>
      </c>
      <c r="AR35" s="2">
        <v>0.63859779666150751</v>
      </c>
      <c r="AS35" s="2">
        <v>0.25074290605312355</v>
      </c>
      <c r="AT35" s="2">
        <v>0.65488708366396453</v>
      </c>
      <c r="AU35" s="2">
        <v>2.3180403116996766</v>
      </c>
      <c r="AV35" s="2">
        <v>2.2439065891003267</v>
      </c>
      <c r="AW35" s="2">
        <v>4.8524204787614167</v>
      </c>
      <c r="AX35" s="2">
        <v>1.5947451269924566</v>
      </c>
      <c r="AY35" s="2">
        <v>2.7418785587649865</v>
      </c>
      <c r="AZ35" s="2">
        <v>2.6575304438716265</v>
      </c>
      <c r="BA35" s="2">
        <v>2.3425983001425266</v>
      </c>
      <c r="BB35" s="2">
        <v>3.2413713173789067</v>
      </c>
      <c r="BC35" s="2">
        <v>3.6542375085448566</v>
      </c>
      <c r="BD35" s="2">
        <v>4.2476391907066615</v>
      </c>
      <c r="BE35" s="2">
        <v>1.4066138745509265</v>
      </c>
      <c r="BF35" s="2">
        <v>4.4370729274298419</v>
      </c>
      <c r="BG35" s="2">
        <v>2.7353004815522266</v>
      </c>
      <c r="BH35" s="2">
        <v>1.0798275697617266</v>
      </c>
      <c r="BI35" s="2">
        <v>4.3481052166530469</v>
      </c>
      <c r="BJ35" s="2">
        <v>1.9733286743277265</v>
      </c>
      <c r="BK35" s="2">
        <v>2.7518603095137664</v>
      </c>
      <c r="BL35" s="2">
        <v>4.3827298846331164</v>
      </c>
      <c r="BM35" s="2">
        <v>3.9417280751851669</v>
      </c>
      <c r="BN35" s="2">
        <v>1.0032849339034866</v>
      </c>
      <c r="BO35" s="2">
        <v>1.4988573259350266</v>
      </c>
      <c r="BP35" s="2">
        <v>1.5493467361965665</v>
      </c>
      <c r="BQ35" s="2">
        <v>3.2859705287147167</v>
      </c>
      <c r="BR35" s="2">
        <v>5.713126565462467</v>
      </c>
      <c r="BS35" s="2">
        <v>3.2486088171132566</v>
      </c>
      <c r="BT35" s="2">
        <v>3.2994554947002466</v>
      </c>
      <c r="BU35" s="2">
        <v>3.3468194021007265</v>
      </c>
      <c r="BV35" s="2">
        <v>2.1353869204612264</v>
      </c>
      <c r="BW35" s="2">
        <v>2.1622981842330766</v>
      </c>
      <c r="BY35">
        <f t="shared" si="0"/>
        <v>2.4158105916188601</v>
      </c>
      <c r="BZ35">
        <f t="shared" si="1"/>
        <v>2.7271124705056535</v>
      </c>
      <c r="CA35">
        <f t="shared" si="2"/>
        <v>0.80591417912794483</v>
      </c>
      <c r="CB35">
        <f t="shared" si="3"/>
        <v>0.35398208775138351</v>
      </c>
      <c r="CC35">
        <f t="shared" si="4"/>
        <v>-0.31130187888679345</v>
      </c>
      <c r="CD35">
        <f t="shared" si="5"/>
        <v>0.45101871364526047</v>
      </c>
      <c r="CE35" t="s">
        <v>72</v>
      </c>
      <c r="CH35" t="s">
        <v>113</v>
      </c>
      <c r="CI35">
        <v>0.13357082695956524</v>
      </c>
      <c r="CJ35">
        <v>0.40861381577983474</v>
      </c>
    </row>
    <row r="36" spans="1:88" x14ac:dyDescent="0.2">
      <c r="A36" t="s">
        <v>73</v>
      </c>
      <c r="B36" s="1">
        <v>-0.13509660085039574</v>
      </c>
      <c r="C36" s="1">
        <v>-0.27770927513479665</v>
      </c>
      <c r="D36" s="1">
        <v>1.9133215160394963</v>
      </c>
      <c r="E36" s="1">
        <v>2.2382580531666663</v>
      </c>
      <c r="F36" s="1">
        <v>1.7989062756756664</v>
      </c>
      <c r="G36" s="1">
        <v>3.1130292733490963</v>
      </c>
      <c r="H36" s="1">
        <v>0.83808356618724633</v>
      </c>
      <c r="I36" s="1">
        <v>1.3905077477763363</v>
      </c>
      <c r="J36" s="1">
        <v>1.2013632262066922</v>
      </c>
      <c r="K36" s="1">
        <v>2.0698968042154506</v>
      </c>
      <c r="L36" s="1">
        <v>1.0045420030327923</v>
      </c>
      <c r="M36" s="1">
        <v>-0.22575637615889971</v>
      </c>
      <c r="N36" s="1">
        <v>1.0221362284936362</v>
      </c>
      <c r="O36" s="1">
        <v>0.4170234578140013</v>
      </c>
      <c r="P36" s="1">
        <v>2.8379207999945963</v>
      </c>
      <c r="Q36" s="1">
        <v>2.4186604312963564</v>
      </c>
      <c r="R36" s="1">
        <v>2.6287561316211763</v>
      </c>
      <c r="S36" s="1">
        <v>1.7996831253469163</v>
      </c>
      <c r="T36" s="1">
        <v>1.7001576175719562</v>
      </c>
      <c r="U36" s="1">
        <v>1.8627316622316963</v>
      </c>
      <c r="V36" s="1">
        <v>0.78523574798036622</v>
      </c>
      <c r="W36" s="1">
        <v>0.98972071549434637</v>
      </c>
      <c r="X36" s="1">
        <v>0.51608155644918929</v>
      </c>
      <c r="Y36" s="1">
        <v>1.8695054028375564</v>
      </c>
      <c r="Z36" s="1">
        <v>0.64012516778093231</v>
      </c>
      <c r="AA36" s="1">
        <v>-0.10463994177856351</v>
      </c>
      <c r="AB36" s="1">
        <v>1.1675243588924622</v>
      </c>
      <c r="AC36" s="1">
        <v>1.1372062096252022</v>
      </c>
      <c r="AD36" s="1">
        <v>0.27051566425655726</v>
      </c>
      <c r="AE36" s="1">
        <v>1.7249689413693421</v>
      </c>
      <c r="AF36" s="1">
        <v>0.88890184402510219</v>
      </c>
      <c r="AG36" s="1">
        <v>1.4410611647914422</v>
      </c>
      <c r="AH36" s="1">
        <v>2.3142919005046223</v>
      </c>
      <c r="AI36" s="1">
        <v>1.1712163930905524</v>
      </c>
      <c r="AJ36" s="1">
        <v>1.3495464415276324</v>
      </c>
      <c r="AK36" s="1">
        <v>3.2140099955831825</v>
      </c>
      <c r="AL36" s="2">
        <v>0.71125858655259921</v>
      </c>
      <c r="AM36" s="2">
        <v>3.1014778420655746</v>
      </c>
      <c r="AN36" s="2">
        <v>1.0648893261677743</v>
      </c>
      <c r="AO36" s="2">
        <v>1.9889065522702443</v>
      </c>
      <c r="AP36" s="2">
        <v>0.22389509761559923</v>
      </c>
      <c r="AQ36" s="2">
        <v>1.7524563585394142</v>
      </c>
      <c r="AR36" s="2">
        <v>-0.27083387454918673</v>
      </c>
      <c r="AS36" s="2">
        <v>-9.1967566558398772E-2</v>
      </c>
      <c r="AT36" s="2">
        <v>1.0680751302230842</v>
      </c>
      <c r="AU36" s="2">
        <v>0.36131059553274725</v>
      </c>
      <c r="AV36" s="2">
        <v>0.81228779611297619</v>
      </c>
      <c r="AW36" s="2">
        <v>1.6152055745469742</v>
      </c>
      <c r="AX36" s="2">
        <v>1.1881480880975483</v>
      </c>
      <c r="AY36" s="2">
        <v>2.2709323637496444</v>
      </c>
      <c r="AZ36" s="2">
        <v>1.7437069712179643</v>
      </c>
      <c r="BA36" s="2">
        <v>2.2174350407608543</v>
      </c>
      <c r="BB36" s="2">
        <v>1.5763667812154343</v>
      </c>
      <c r="BC36" s="2">
        <v>-0.19052548122840574</v>
      </c>
      <c r="BD36" s="2">
        <v>2.7409026160521903</v>
      </c>
      <c r="BE36" s="2">
        <v>0.76199053622423318</v>
      </c>
      <c r="BF36" s="2">
        <v>1.9187366013074305</v>
      </c>
      <c r="BG36" s="2">
        <v>2.4717152936475251E-2</v>
      </c>
      <c r="BH36" s="2">
        <v>1.8718483019966043</v>
      </c>
      <c r="BI36" s="2">
        <v>3.4506150288409945</v>
      </c>
      <c r="BJ36" s="2">
        <v>1.3799322854631582</v>
      </c>
      <c r="BK36" s="2">
        <v>1.8483895167159543</v>
      </c>
      <c r="BL36" s="2">
        <v>0.78296010002420624</v>
      </c>
      <c r="BM36" s="2">
        <v>0.51148021665173993</v>
      </c>
      <c r="BN36" s="2">
        <v>0.96571380358500525</v>
      </c>
      <c r="BO36" s="2">
        <v>1.0877518628821381</v>
      </c>
      <c r="BP36" s="2">
        <v>0.59837854761644504</v>
      </c>
      <c r="BQ36" s="2">
        <v>1.8357208960141642</v>
      </c>
      <c r="BR36" s="2">
        <v>2.4369187482490045</v>
      </c>
      <c r="BS36" s="2">
        <v>8.868330459841256E-3</v>
      </c>
      <c r="BT36" s="2">
        <v>1.0382341231667873</v>
      </c>
      <c r="BU36" s="2">
        <v>1.8685678089723143</v>
      </c>
      <c r="BV36" s="2">
        <v>0.73154241034622125</v>
      </c>
      <c r="BW36" s="2">
        <v>0.8240600490697092</v>
      </c>
      <c r="BY36">
        <f t="shared" si="0"/>
        <v>1.3608802008418222</v>
      </c>
      <c r="BZ36">
        <f t="shared" si="1"/>
        <v>1.2586935294449226</v>
      </c>
      <c r="CA36">
        <f t="shared" si="2"/>
        <v>1.0733991653341184</v>
      </c>
      <c r="CB36">
        <f t="shared" si="3"/>
        <v>0.6319610699325493</v>
      </c>
      <c r="CC36">
        <f t="shared" si="4"/>
        <v>0.10218667139689955</v>
      </c>
      <c r="CD36">
        <f t="shared" si="5"/>
        <v>0.19930967430340499</v>
      </c>
      <c r="CE36" t="s">
        <v>73</v>
      </c>
      <c r="CH36" t="s">
        <v>102</v>
      </c>
      <c r="CI36">
        <v>-0.20048478034945691</v>
      </c>
      <c r="CJ36">
        <v>0.40043333968732109</v>
      </c>
    </row>
    <row r="37" spans="1:88" x14ac:dyDescent="0.2">
      <c r="A37" t="s">
        <v>74</v>
      </c>
      <c r="B37" s="1">
        <v>-1.7932545841193213</v>
      </c>
      <c r="C37" s="1">
        <v>-0.7823472090407243</v>
      </c>
      <c r="D37" s="1">
        <v>-1.4121906617437514</v>
      </c>
      <c r="E37" s="1">
        <v>-0.68040857396564425</v>
      </c>
      <c r="F37" s="1">
        <v>-0.91786637856610431</v>
      </c>
      <c r="G37" s="1">
        <v>-2.050776647276491</v>
      </c>
      <c r="H37" s="1">
        <v>-1.7568910107920512</v>
      </c>
      <c r="I37" s="1">
        <v>-2.3315159172169113</v>
      </c>
      <c r="J37" s="1">
        <v>-1.9724849715275365</v>
      </c>
      <c r="K37" s="1">
        <v>-0.71863029026911529</v>
      </c>
      <c r="L37" s="1">
        <v>-1.2580873854810064</v>
      </c>
      <c r="M37" s="1">
        <v>2.5225139850685585E-3</v>
      </c>
      <c r="N37" s="1">
        <v>-0.80904027170876724</v>
      </c>
      <c r="O37" s="1">
        <v>-0.68475929846275829</v>
      </c>
      <c r="P37" s="1">
        <v>-1.1168354701569643</v>
      </c>
      <c r="Q37" s="1">
        <v>-2.1214686456200811</v>
      </c>
      <c r="R37" s="1">
        <v>-1.3702692367155413</v>
      </c>
      <c r="S37" s="1">
        <v>0.12729555381193969</v>
      </c>
      <c r="T37" s="1">
        <v>-1.1954277151401533</v>
      </c>
      <c r="U37" s="1">
        <v>-1.5074210416062213</v>
      </c>
      <c r="V37" s="1">
        <v>-0.53126840978248624</v>
      </c>
      <c r="W37" s="1">
        <v>-2.9056305547278614</v>
      </c>
      <c r="X37" s="1">
        <v>-1.3791153606822413</v>
      </c>
      <c r="Y37" s="1">
        <v>-1.1654017655534423</v>
      </c>
      <c r="Z37" s="1">
        <v>-1.0626738289051754</v>
      </c>
      <c r="AA37" s="1">
        <v>-2.3740898833193853</v>
      </c>
      <c r="AB37" s="1">
        <v>-0.61763689736254346</v>
      </c>
      <c r="AC37" s="1">
        <v>-0.73823860725467749</v>
      </c>
      <c r="AD37" s="1">
        <v>-1.2568193830505965</v>
      </c>
      <c r="AE37" s="1">
        <v>-0.79175168020731046</v>
      </c>
      <c r="AF37" s="1">
        <v>-1.2884572003638766</v>
      </c>
      <c r="AG37" s="1">
        <v>-1.1656572789592865</v>
      </c>
      <c r="AH37" s="1">
        <v>-0.98635432714436644</v>
      </c>
      <c r="AI37" s="1">
        <v>-0.70990947977982943</v>
      </c>
      <c r="AJ37" s="1">
        <v>-0.68625434615513148</v>
      </c>
      <c r="AK37" s="1">
        <v>0.22362366440270554</v>
      </c>
      <c r="AL37" s="2">
        <v>-1.6955552871351696</v>
      </c>
      <c r="AM37" s="2">
        <v>-1.3445858759040796</v>
      </c>
      <c r="AN37" s="2">
        <v>-0.57914981472945981</v>
      </c>
      <c r="AO37" s="2">
        <v>-1.1245684753754497</v>
      </c>
      <c r="AP37" s="2">
        <v>-1.6068820641679697</v>
      </c>
      <c r="AQ37" s="2">
        <v>-1.7603686016456197</v>
      </c>
      <c r="AR37" s="2">
        <v>-2.3293061039333098</v>
      </c>
      <c r="AS37" s="2">
        <v>-2.3856341880935297</v>
      </c>
      <c r="AT37" s="2">
        <v>-0.51153914792196875</v>
      </c>
      <c r="AU37" s="2">
        <v>-0.82651695573890982</v>
      </c>
      <c r="AV37" s="2">
        <v>-9.0333648805503763E-2</v>
      </c>
      <c r="AW37" s="2">
        <v>-0.21637559934647377</v>
      </c>
      <c r="AX37" s="2">
        <v>-1.9283145675373397</v>
      </c>
      <c r="AY37" s="2">
        <v>-0.90182383048200965</v>
      </c>
      <c r="AZ37" s="2">
        <v>-1.2086101516222898</v>
      </c>
      <c r="BA37" s="2">
        <v>-0.71010316040694965</v>
      </c>
      <c r="BB37" s="2">
        <v>-0.73838056559528975</v>
      </c>
      <c r="BC37" s="2">
        <v>-1.9973423251463895</v>
      </c>
      <c r="BD37" s="2">
        <v>-0.64059856340075827</v>
      </c>
      <c r="BE37" s="2">
        <v>-1.4050711330327597</v>
      </c>
      <c r="BF37" s="2">
        <v>-0.81854052818456524</v>
      </c>
      <c r="BG37" s="2">
        <v>-1.4376095963558397</v>
      </c>
      <c r="BH37" s="2">
        <v>-1.2471908151296798</v>
      </c>
      <c r="BI37" s="2">
        <v>-1.6543124467200099</v>
      </c>
      <c r="BJ37" s="2">
        <v>-1.8458763428674696</v>
      </c>
      <c r="BK37" s="2">
        <v>-1.1150325751213297</v>
      </c>
      <c r="BL37" s="2">
        <v>-1.4259384095882697</v>
      </c>
      <c r="BM37" s="2">
        <v>-1.4972846462314198</v>
      </c>
      <c r="BN37" s="2">
        <v>-0.87024735178533974</v>
      </c>
      <c r="BO37" s="2">
        <v>-1.5395134194601998</v>
      </c>
      <c r="BP37" s="2">
        <v>-1.6637945084442198</v>
      </c>
      <c r="BQ37" s="2">
        <v>-0.57334642037701977</v>
      </c>
      <c r="BR37" s="2">
        <v>-0.42390184740022574</v>
      </c>
      <c r="BS37" s="2">
        <v>-1.6824596957138795</v>
      </c>
      <c r="BT37" s="2">
        <v>-0.80388137285780981</v>
      </c>
      <c r="BU37" s="2">
        <v>-1.0592450426972797</v>
      </c>
      <c r="BV37" s="2">
        <v>-1.0209901364894798</v>
      </c>
      <c r="BW37" s="2">
        <v>-1.2096956548702997</v>
      </c>
      <c r="BY37">
        <f t="shared" si="0"/>
        <v>-1.1607081272349347</v>
      </c>
      <c r="BZ37">
        <f t="shared" si="1"/>
        <v>-1.2076294965872518</v>
      </c>
      <c r="CA37">
        <f t="shared" si="2"/>
        <v>1.0330580817861936</v>
      </c>
      <c r="CB37">
        <f t="shared" si="3"/>
        <v>0.74980303065322662</v>
      </c>
      <c r="CC37">
        <f t="shared" si="4"/>
        <v>4.6921369352317298E-2</v>
      </c>
      <c r="CD37">
        <f t="shared" si="5"/>
        <v>0.12505280852194625</v>
      </c>
      <c r="CE37" t="s">
        <v>74</v>
      </c>
      <c r="CH37" t="s">
        <v>79</v>
      </c>
      <c r="CI37">
        <v>-0.16651680189590146</v>
      </c>
      <c r="CJ37">
        <v>0.39475234777590307</v>
      </c>
    </row>
    <row r="38" spans="1:88" x14ac:dyDescent="0.2">
      <c r="A38" t="s">
        <v>75</v>
      </c>
      <c r="B38" s="1">
        <v>-0.96747179563356434</v>
      </c>
      <c r="C38" s="1">
        <v>0.52198428931740981</v>
      </c>
      <c r="D38" s="1">
        <v>-1.2477882571682342</v>
      </c>
      <c r="E38" s="1">
        <v>-1.3764291014415442</v>
      </c>
      <c r="F38" s="1">
        <v>-1.0231933971306442</v>
      </c>
      <c r="G38" s="1">
        <v>-1.0539237015108842</v>
      </c>
      <c r="H38" s="1">
        <v>-0.60236236668336829</v>
      </c>
      <c r="I38" s="1">
        <v>-0.81337627447630423</v>
      </c>
      <c r="J38" s="1">
        <v>0.74263970267570223</v>
      </c>
      <c r="K38" s="1">
        <v>-1.3888356584475847E-2</v>
      </c>
      <c r="L38" s="1">
        <v>-0.71258759702018171</v>
      </c>
      <c r="M38" s="1">
        <v>0.72246822804570021</v>
      </c>
      <c r="N38" s="1">
        <v>4.2661615620764759E-2</v>
      </c>
      <c r="O38" s="1">
        <v>9.4256970274568752E-2</v>
      </c>
      <c r="P38" s="1">
        <v>-1.3092301943978641</v>
      </c>
      <c r="Q38" s="1">
        <v>-2.3005266645329243</v>
      </c>
      <c r="R38" s="1">
        <v>-2.1943394126188442</v>
      </c>
      <c r="S38" s="1">
        <v>1.6167138907256358</v>
      </c>
      <c r="T38" s="1">
        <v>-0.18643251057629828</v>
      </c>
      <c r="U38" s="1">
        <v>-1.9064828269046643</v>
      </c>
      <c r="V38" s="1">
        <v>-0.68860309492137417</v>
      </c>
      <c r="W38" s="1">
        <v>-1.2977567959765142</v>
      </c>
      <c r="X38" s="1">
        <v>-0.5854992725630852</v>
      </c>
      <c r="Y38" s="1">
        <v>-0.7060535964323742</v>
      </c>
      <c r="Z38" s="1">
        <v>-5.6125977613999449E-2</v>
      </c>
      <c r="AA38" s="1">
        <v>-1.3738770839486807</v>
      </c>
      <c r="AB38" s="1">
        <v>0.82710607589659524</v>
      </c>
      <c r="AC38" s="1">
        <v>0.96854651538473824</v>
      </c>
      <c r="AD38" s="1">
        <v>-0.55806971720513976</v>
      </c>
      <c r="AE38" s="1">
        <v>-0.42862092239729976</v>
      </c>
      <c r="AF38" s="1">
        <v>-0.55096613759411572</v>
      </c>
      <c r="AG38" s="1">
        <v>-1.5283165418043119</v>
      </c>
      <c r="AH38" s="1">
        <v>0.19442569963168027</v>
      </c>
      <c r="AI38" s="1">
        <v>-0.86112730668392179</v>
      </c>
      <c r="AJ38" s="1">
        <v>-0.76812671773632879</v>
      </c>
      <c r="AK38" s="1">
        <v>-0.41733590213157373</v>
      </c>
      <c r="AL38" s="2">
        <v>-1.5289726877783538</v>
      </c>
      <c r="AM38" s="2">
        <v>-1.7162454032672838</v>
      </c>
      <c r="AN38" s="2">
        <v>-4.5692164217664047E-2</v>
      </c>
      <c r="AO38" s="2">
        <v>-1.7289307231974838</v>
      </c>
      <c r="AP38" s="2">
        <v>0.17219546138577008</v>
      </c>
      <c r="AQ38" s="2">
        <v>6.978230205073005E-2</v>
      </c>
      <c r="AR38" s="2">
        <v>-0.6994434831111509</v>
      </c>
      <c r="AS38" s="2">
        <v>-1.4485676207372538</v>
      </c>
      <c r="AT38" s="2">
        <v>-1.5901715394122538</v>
      </c>
      <c r="AU38" s="2">
        <v>-1.2803722463135441</v>
      </c>
      <c r="AV38" s="2">
        <v>-0.41332826216477497</v>
      </c>
      <c r="AW38" s="2">
        <v>-0.67272663917665898</v>
      </c>
      <c r="AX38" s="2">
        <v>-0.82476745252488692</v>
      </c>
      <c r="AY38" s="2">
        <v>-0.23496891457855695</v>
      </c>
      <c r="AZ38" s="2">
        <v>-0.61871597593651595</v>
      </c>
      <c r="BA38" s="2">
        <v>-0.36832616496405696</v>
      </c>
      <c r="BB38" s="2">
        <v>-1.293575767249834</v>
      </c>
      <c r="BC38" s="2">
        <v>-1.6148804681417142</v>
      </c>
      <c r="BD38" s="2">
        <v>0.25046174789996012</v>
      </c>
      <c r="BE38" s="2">
        <v>-3.8767710433981056E-2</v>
      </c>
      <c r="BF38" s="2">
        <v>-0.63890957745884736</v>
      </c>
      <c r="BG38" s="2">
        <v>-1.417284637528474</v>
      </c>
      <c r="BH38" s="2">
        <v>0.12492442408463106</v>
      </c>
      <c r="BI38" s="2">
        <v>-0.60175479244483898</v>
      </c>
      <c r="BJ38" s="2">
        <v>-0.56706130233559893</v>
      </c>
      <c r="BK38" s="2">
        <v>-0.94694091250048695</v>
      </c>
      <c r="BL38" s="2">
        <v>-1.2908803376256639</v>
      </c>
      <c r="BM38" s="2">
        <v>-2.0318707209368738</v>
      </c>
      <c r="BN38" s="2">
        <v>-0.21441493725844196</v>
      </c>
      <c r="BO38" s="2">
        <v>-0.45150546190126595</v>
      </c>
      <c r="BP38" s="2">
        <v>-1.3127121393078038</v>
      </c>
      <c r="BQ38" s="2">
        <v>-0.28858257462467996</v>
      </c>
      <c r="BR38" s="2">
        <v>-0.6748238765671819</v>
      </c>
      <c r="BS38" s="2">
        <v>-1.2650574485088839</v>
      </c>
      <c r="BT38" s="2">
        <v>-0.53069401410515193</v>
      </c>
      <c r="BU38" s="2">
        <v>-1.1163720054523241</v>
      </c>
      <c r="BV38" s="2">
        <v>0.42862675449169607</v>
      </c>
      <c r="BW38" s="2">
        <v>-1.0420883117963688</v>
      </c>
      <c r="BY38">
        <f t="shared" si="0"/>
        <v>-0.5499363482254368</v>
      </c>
      <c r="BZ38">
        <f t="shared" si="1"/>
        <v>-0.77535304167489649</v>
      </c>
      <c r="CA38">
        <f t="shared" si="2"/>
        <v>1.1691148751209477</v>
      </c>
      <c r="CB38">
        <f t="shared" si="3"/>
        <v>0.21840126462413043</v>
      </c>
      <c r="CC38">
        <f t="shared" si="4"/>
        <v>0.22541669344945972</v>
      </c>
      <c r="CD38">
        <f t="shared" si="5"/>
        <v>0.66074485123428095</v>
      </c>
      <c r="CE38" t="s">
        <v>75</v>
      </c>
      <c r="CH38" t="s">
        <v>104</v>
      </c>
      <c r="CI38">
        <v>0.15827494297705835</v>
      </c>
      <c r="CJ38">
        <v>0.39078921481819573</v>
      </c>
    </row>
    <row r="39" spans="1:88" x14ac:dyDescent="0.2">
      <c r="A39" t="s">
        <v>76</v>
      </c>
      <c r="B39" s="1">
        <v>5.5225369602054233</v>
      </c>
      <c r="C39" s="1">
        <v>3.792026579021023</v>
      </c>
      <c r="D39" s="1">
        <v>-1.0565347796679665</v>
      </c>
      <c r="E39" s="1">
        <v>-1.0139352516507465</v>
      </c>
      <c r="F39" s="1">
        <v>-0.35361390882402643</v>
      </c>
      <c r="G39" s="1">
        <v>-0.38023861139909654</v>
      </c>
      <c r="H39" s="1">
        <v>-0.50278430148179654</v>
      </c>
      <c r="I39" s="1">
        <v>0.82922263945448371</v>
      </c>
      <c r="J39" s="1">
        <v>0.70635279791842676</v>
      </c>
      <c r="K39" s="1">
        <v>2.3083458638457</v>
      </c>
      <c r="L39" s="1">
        <v>-0.16806549438045532</v>
      </c>
      <c r="M39" s="1">
        <v>0.50525977101758368</v>
      </c>
      <c r="N39" s="1">
        <v>-0.12830852965977257</v>
      </c>
      <c r="O39" s="1">
        <v>0.76427478021033635</v>
      </c>
      <c r="P39" s="1">
        <v>4.1805958165035335</v>
      </c>
      <c r="Q39" s="1">
        <v>2.3626709200624232</v>
      </c>
      <c r="R39" s="1">
        <v>-0.6016196323708165</v>
      </c>
      <c r="S39" s="1">
        <v>1.8254035290344734</v>
      </c>
      <c r="T39" s="1">
        <v>-0.1381267641360735</v>
      </c>
      <c r="U39" s="1">
        <v>4.8942520323251433</v>
      </c>
      <c r="V39" s="1">
        <v>0.71945504926525405</v>
      </c>
      <c r="W39" s="1">
        <v>2.4100854357076735</v>
      </c>
      <c r="X39" s="1">
        <v>1.4729702838475005</v>
      </c>
      <c r="Y39" s="1">
        <v>0.26473877669691248</v>
      </c>
      <c r="Z39" s="1">
        <v>1.7927760254738128</v>
      </c>
      <c r="AA39" s="1">
        <v>-0.59688643431791888</v>
      </c>
      <c r="AB39" s="1">
        <v>-1.0687672826404975</v>
      </c>
      <c r="AC39" s="1">
        <v>-0.84771279429669721</v>
      </c>
      <c r="AD39" s="1">
        <v>3.1958753927914527</v>
      </c>
      <c r="AE39" s="1">
        <v>0.98090191102470869</v>
      </c>
      <c r="AF39" s="1">
        <v>-5.8450872484508309E-2</v>
      </c>
      <c r="AG39" s="1">
        <v>-0.51089140290261137</v>
      </c>
      <c r="AH39" s="1">
        <v>1.2569894001572628</v>
      </c>
      <c r="AI39" s="1">
        <v>0.27562018114692011</v>
      </c>
      <c r="AJ39" s="1">
        <v>2.0867508844857428</v>
      </c>
      <c r="AK39" s="1">
        <v>0.94893211291508273</v>
      </c>
      <c r="AL39" s="2">
        <v>1.1117099324593365</v>
      </c>
      <c r="AM39" s="2">
        <v>-0.77951885581515534</v>
      </c>
      <c r="AN39" s="2">
        <v>1.4030874879740967</v>
      </c>
      <c r="AO39" s="2">
        <v>-6.1789355822768344E-2</v>
      </c>
      <c r="AP39" s="2">
        <v>-0.62069565491480927</v>
      </c>
      <c r="AQ39" s="2">
        <v>-3.060648272531953</v>
      </c>
      <c r="AR39" s="2">
        <v>-0.55766685205912536</v>
      </c>
      <c r="AS39" s="2">
        <v>-2.2502710375938832</v>
      </c>
      <c r="AT39" s="2">
        <v>-0.61545354310480138</v>
      </c>
      <c r="AU39" s="2">
        <v>0.72918542607746661</v>
      </c>
      <c r="AV39" s="2">
        <v>-0.14947819522853034</v>
      </c>
      <c r="AW39" s="2">
        <v>-0.32743304320385536</v>
      </c>
      <c r="AX39" s="2">
        <v>7.6470401063096771E-2</v>
      </c>
      <c r="AY39" s="2">
        <v>2.8490094272401567</v>
      </c>
      <c r="AZ39" s="2">
        <v>4.0070962920005266</v>
      </c>
      <c r="BA39" s="2">
        <v>2.6997643395647364</v>
      </c>
      <c r="BB39" s="2">
        <v>3.8302595006257167</v>
      </c>
      <c r="BC39" s="2">
        <v>4.4324134679245564</v>
      </c>
      <c r="BD39" s="2">
        <v>-0.70873954282193186</v>
      </c>
      <c r="BE39" s="2">
        <v>-2.3000718877329636</v>
      </c>
      <c r="BF39" s="2">
        <v>0.80561340570023909</v>
      </c>
      <c r="BG39" s="2">
        <v>-0.5773371189340053</v>
      </c>
      <c r="BH39" s="2">
        <v>1.8353412096168065</v>
      </c>
      <c r="BI39" s="2">
        <v>2.8610393400671663</v>
      </c>
      <c r="BJ39" s="2">
        <v>2.6420021713925568</v>
      </c>
      <c r="BK39" s="2">
        <v>3.5500744312007564</v>
      </c>
      <c r="BL39" s="2">
        <v>4.6465064469676962</v>
      </c>
      <c r="BM39" s="2">
        <v>3.7702506313153465</v>
      </c>
      <c r="BN39" s="2">
        <v>-3.1092984872154634</v>
      </c>
      <c r="BO39" s="2">
        <v>-0.43671520564494032</v>
      </c>
      <c r="BP39" s="2">
        <v>5.1046249469092366</v>
      </c>
      <c r="BQ39" s="2">
        <v>4.5428825372064168</v>
      </c>
      <c r="BR39" s="2">
        <v>6.0879620968432766</v>
      </c>
      <c r="BS39" s="2">
        <v>4.2295160029788166</v>
      </c>
      <c r="BT39" s="2">
        <v>-1.0775749823725134</v>
      </c>
      <c r="BU39" s="2">
        <v>-1.7441752720062933</v>
      </c>
      <c r="BV39" s="2">
        <v>3.0073348920256668</v>
      </c>
      <c r="BW39" s="2">
        <v>2.2723640697350165</v>
      </c>
      <c r="BY39">
        <f t="shared" si="0"/>
        <v>0.99083614119160812</v>
      </c>
      <c r="BZ39">
        <f t="shared" si="1"/>
        <v>1.2662537144706763</v>
      </c>
      <c r="CA39">
        <f t="shared" si="2"/>
        <v>0.82621114520287176</v>
      </c>
      <c r="CB39">
        <f t="shared" si="3"/>
        <v>0.57901965726123694</v>
      </c>
      <c r="CC39">
        <f t="shared" si="4"/>
        <v>-0.27541757327906818</v>
      </c>
      <c r="CD39">
        <f t="shared" si="5"/>
        <v>0.2373066920667434</v>
      </c>
      <c r="CE39" t="s">
        <v>76</v>
      </c>
      <c r="CH39" t="s">
        <v>94</v>
      </c>
      <c r="CI39">
        <v>0.15447955208433059</v>
      </c>
      <c r="CJ39">
        <v>0.38880423509193623</v>
      </c>
    </row>
    <row r="40" spans="1:88" x14ac:dyDescent="0.2">
      <c r="A40" t="s">
        <v>77</v>
      </c>
      <c r="B40" s="1">
        <v>-0.31500637370183665</v>
      </c>
      <c r="C40" s="1">
        <v>-0.6087848571735277</v>
      </c>
      <c r="D40" s="1">
        <v>0.53824457216478638</v>
      </c>
      <c r="E40" s="1">
        <v>5.7077413470683347E-2</v>
      </c>
      <c r="F40" s="1">
        <v>-0.76539834965059872</v>
      </c>
      <c r="G40" s="1">
        <v>-0.74817044507864172</v>
      </c>
      <c r="H40" s="1">
        <v>-1.0151415553336638</v>
      </c>
      <c r="I40" s="1">
        <v>-0.8898623616792356</v>
      </c>
      <c r="J40" s="1">
        <v>-1.2280679418472054</v>
      </c>
      <c r="K40" s="1">
        <v>-0.39975731848254648</v>
      </c>
      <c r="L40" s="1">
        <v>-1.5340886307718753</v>
      </c>
      <c r="M40" s="1">
        <v>-1.0740970682657154</v>
      </c>
      <c r="N40" s="1">
        <v>-0.55797450552305061</v>
      </c>
      <c r="O40" s="1">
        <v>-1.1170117742944137</v>
      </c>
      <c r="P40" s="1">
        <v>-0.55968316859472567</v>
      </c>
      <c r="Q40" s="1">
        <v>-1.1178200152985358</v>
      </c>
      <c r="R40" s="1">
        <v>-1.0183127162935137</v>
      </c>
      <c r="S40" s="1">
        <v>-0.50794140967623169</v>
      </c>
      <c r="T40" s="1">
        <v>-0.17388392194490165</v>
      </c>
      <c r="U40" s="1">
        <v>-0.6881326491058537</v>
      </c>
      <c r="V40" s="1">
        <v>-0.51724995408669971</v>
      </c>
      <c r="W40" s="1">
        <v>-1.0510846008624317</v>
      </c>
      <c r="X40" s="1">
        <v>-7.6406863815651649E-2</v>
      </c>
      <c r="Y40" s="1">
        <v>-0.49108997504432483</v>
      </c>
      <c r="Z40" s="1">
        <v>-0.41544040059814746</v>
      </c>
      <c r="AA40" s="1">
        <v>-0.55822300684248649</v>
      </c>
      <c r="AB40" s="1">
        <v>-0.6530555729387385</v>
      </c>
      <c r="AC40" s="1">
        <v>-1.0914709338760455</v>
      </c>
      <c r="AD40" s="1">
        <v>-0.53545691526019146</v>
      </c>
      <c r="AE40" s="1">
        <v>-0.65824434444729851</v>
      </c>
      <c r="AF40" s="1">
        <v>-1.1585971222225253</v>
      </c>
      <c r="AG40" s="1">
        <v>-1.3212006107941354</v>
      </c>
      <c r="AH40" s="1">
        <v>-0.72801974340388542</v>
      </c>
      <c r="AI40" s="1">
        <v>-1.0005707567444655</v>
      </c>
      <c r="AJ40" s="1">
        <v>-1.2568410496889655</v>
      </c>
      <c r="AK40" s="1">
        <v>-1.0103594342744255</v>
      </c>
      <c r="AL40" s="2">
        <v>0.31573960263854717</v>
      </c>
      <c r="AM40" s="2">
        <v>-0.59495721543092284</v>
      </c>
      <c r="AN40" s="2">
        <v>0.86983726182128518</v>
      </c>
      <c r="AO40" s="2">
        <v>-0.57989944408423089</v>
      </c>
      <c r="AP40" s="2">
        <v>-1.2975696880175009</v>
      </c>
      <c r="AQ40" s="2">
        <v>-1.211008353231251</v>
      </c>
      <c r="AR40" s="2">
        <v>-2.2041877452112706</v>
      </c>
      <c r="AS40" s="2">
        <v>-0.70619072221906187</v>
      </c>
      <c r="AT40" s="2">
        <v>-0.22320037422265385</v>
      </c>
      <c r="AU40" s="2">
        <v>-0.75024324515764484</v>
      </c>
      <c r="AV40" s="2">
        <v>0.87087096368296513</v>
      </c>
      <c r="AW40" s="2">
        <v>0.6147376433872962</v>
      </c>
      <c r="AX40" s="2">
        <v>-1.5308714270095707</v>
      </c>
      <c r="AY40" s="2">
        <v>-1.2638867789199608</v>
      </c>
      <c r="AZ40" s="2">
        <v>-0.27190607083363083</v>
      </c>
      <c r="BA40" s="2">
        <v>-0.26862562192084183</v>
      </c>
      <c r="BB40" s="2">
        <v>-0.55411657349638577</v>
      </c>
      <c r="BC40" s="2">
        <v>0.38280221269164316</v>
      </c>
      <c r="BD40" s="2">
        <v>-6.9001388989600398E-2</v>
      </c>
      <c r="BE40" s="2">
        <v>-1.5913963436981811</v>
      </c>
      <c r="BF40" s="2">
        <v>-0.80153491018903633</v>
      </c>
      <c r="BG40" s="2">
        <v>0.50305214714332114</v>
      </c>
      <c r="BH40" s="2">
        <v>-1.2712478477195308</v>
      </c>
      <c r="BI40" s="2">
        <v>-1.406829944344131</v>
      </c>
      <c r="BJ40" s="2">
        <v>-0.68960440039346382</v>
      </c>
      <c r="BK40" s="2">
        <v>-1.0901134112619006</v>
      </c>
      <c r="BL40" s="2">
        <v>-0.52730156361162384</v>
      </c>
      <c r="BM40" s="2">
        <v>-0.32992277608707382</v>
      </c>
      <c r="BN40" s="2">
        <v>-1.174019061226061</v>
      </c>
      <c r="BO40" s="2">
        <v>-1.1415662135281908</v>
      </c>
      <c r="BP40" s="2">
        <v>8.7894384639349149E-2</v>
      </c>
      <c r="BQ40" s="2">
        <v>3.6602528939121554E-3</v>
      </c>
      <c r="BR40" s="2">
        <v>-0.90904301323755488</v>
      </c>
      <c r="BS40" s="2">
        <v>1.4015695906386461E-2</v>
      </c>
      <c r="BT40" s="2">
        <v>-1.3415425354339807</v>
      </c>
      <c r="BU40" s="2">
        <v>-1.5098540485180409</v>
      </c>
      <c r="BV40" s="2">
        <v>-1.2702701836277308</v>
      </c>
      <c r="BW40" s="2">
        <v>-1.5830074676162309</v>
      </c>
      <c r="BY40">
        <f t="shared" si="0"/>
        <v>-0.729086787832806</v>
      </c>
      <c r="BZ40">
        <f t="shared" si="1"/>
        <v>-0.64474495274822485</v>
      </c>
      <c r="CA40">
        <f t="shared" si="2"/>
        <v>0.94321473720658056</v>
      </c>
      <c r="CB40">
        <f t="shared" si="3"/>
        <v>0.55535324555741461</v>
      </c>
      <c r="CC40">
        <f t="shared" si="4"/>
        <v>-8.4341835084581263E-2</v>
      </c>
      <c r="CD40">
        <f t="shared" si="5"/>
        <v>0.25543068571490934</v>
      </c>
      <c r="CE40" t="s">
        <v>77</v>
      </c>
      <c r="CH40" t="s">
        <v>58</v>
      </c>
      <c r="CI40">
        <v>-0.15883683420879793</v>
      </c>
      <c r="CJ40">
        <v>0.37192578531168469</v>
      </c>
    </row>
    <row r="41" spans="1:88" x14ac:dyDescent="0.2">
      <c r="A41" t="s">
        <v>78</v>
      </c>
      <c r="B41" s="1">
        <v>-0.49668140373422903</v>
      </c>
      <c r="C41" s="1">
        <v>-0.69554120970789302</v>
      </c>
      <c r="D41" s="1">
        <v>-8.1299650259889028E-2</v>
      </c>
      <c r="E41" s="1">
        <v>-0.91992636859812904</v>
      </c>
      <c r="F41" s="1">
        <v>0.64016307844262199</v>
      </c>
      <c r="G41" s="1">
        <v>-1.167141342102628</v>
      </c>
      <c r="H41" s="1">
        <v>-1.069611279772156</v>
      </c>
      <c r="I41" s="1">
        <v>-1.120295555483767</v>
      </c>
      <c r="J41" s="1">
        <v>-1.7850153121213599</v>
      </c>
      <c r="K41" s="1">
        <v>-0.3563616699015193</v>
      </c>
      <c r="L41" s="1">
        <v>-0.58733723032492191</v>
      </c>
      <c r="M41" s="1">
        <v>-1.1725408145212499</v>
      </c>
      <c r="N41" s="1">
        <v>-1.0576478224962469</v>
      </c>
      <c r="O41" s="1">
        <v>-1.103724242539611</v>
      </c>
      <c r="P41" s="1">
        <v>-0.64417339937935603</v>
      </c>
      <c r="Q41" s="1">
        <v>-0.681857891964046</v>
      </c>
      <c r="R41" s="1">
        <v>0.26575806286242498</v>
      </c>
      <c r="S41" s="1">
        <v>4.804122119604598E-2</v>
      </c>
      <c r="T41" s="1">
        <v>-0.47753126183823502</v>
      </c>
      <c r="U41" s="1">
        <v>-0.29553319191068322</v>
      </c>
      <c r="V41" s="1">
        <v>-1.084197406285667</v>
      </c>
      <c r="W41" s="1">
        <v>-1.4679097528945539</v>
      </c>
      <c r="X41" s="1">
        <v>-0.63718293378923296</v>
      </c>
      <c r="Y41" s="1">
        <v>-3.3080869502317034E-2</v>
      </c>
      <c r="Z41" s="1">
        <v>-0.45220535942504697</v>
      </c>
      <c r="AA41" s="1">
        <v>-1.3159527892034892</v>
      </c>
      <c r="AB41" s="1">
        <v>-0.46588390634820492</v>
      </c>
      <c r="AC41" s="1">
        <v>-0.49935585586952297</v>
      </c>
      <c r="AD41" s="1">
        <v>-1.0211416690694941</v>
      </c>
      <c r="AE41" s="1">
        <v>-0.90593049542117499</v>
      </c>
      <c r="AF41" s="1">
        <v>-0.950025161135719</v>
      </c>
      <c r="AG41" s="1">
        <v>-2.1635139022349601</v>
      </c>
      <c r="AH41" s="1">
        <v>-0.67985625565129393</v>
      </c>
      <c r="AI41" s="1">
        <v>-0.50466133359930798</v>
      </c>
      <c r="AJ41" s="1">
        <v>-0.33584122027875696</v>
      </c>
      <c r="AK41" s="1">
        <v>0.23439702708961907</v>
      </c>
      <c r="AL41" s="2">
        <v>-0.86236900111397874</v>
      </c>
      <c r="AM41" s="2">
        <v>-0.26818608219372575</v>
      </c>
      <c r="AN41" s="2">
        <v>-0.6436855276645207</v>
      </c>
      <c r="AO41" s="2">
        <v>-1.0353013369314348</v>
      </c>
      <c r="AP41" s="2">
        <v>-1.1153094597590045</v>
      </c>
      <c r="AQ41" s="2">
        <v>-1.0347483910898547</v>
      </c>
      <c r="AR41" s="2">
        <v>-1.6557646428252748</v>
      </c>
      <c r="AS41" s="2">
        <v>-1.3148087073301049</v>
      </c>
      <c r="AT41" s="2">
        <v>-0.20001649492474671</v>
      </c>
      <c r="AU41" s="2">
        <v>0.18677359213860029</v>
      </c>
      <c r="AV41" s="2">
        <v>-1.1888845784835547</v>
      </c>
      <c r="AW41" s="2">
        <v>-8.4601867544249726E-2</v>
      </c>
      <c r="AX41" s="2">
        <v>-1.1954377214934349</v>
      </c>
      <c r="AY41" s="2">
        <v>-0.51019269315633375</v>
      </c>
      <c r="AZ41" s="2">
        <v>-1.1687527599798848</v>
      </c>
      <c r="BA41" s="2">
        <v>-6.8567321848762713E-2</v>
      </c>
      <c r="BB41" s="2">
        <v>-0.34614092279374975</v>
      </c>
      <c r="BC41" s="2">
        <v>-1.0660477608224546</v>
      </c>
      <c r="BD41" s="2">
        <v>0.49262119502938084</v>
      </c>
      <c r="BE41" s="2">
        <v>-1.5814581614372245</v>
      </c>
      <c r="BF41" s="2">
        <v>-0.14345211452025919</v>
      </c>
      <c r="BG41" s="2">
        <v>-1.0389550079123149</v>
      </c>
      <c r="BH41" s="2">
        <v>-0.88193950291368461</v>
      </c>
      <c r="BI41" s="2">
        <v>-0.85468545837322474</v>
      </c>
      <c r="BJ41" s="2">
        <v>-0.6755969835586797</v>
      </c>
      <c r="BK41" s="2">
        <v>-0.45420005804676278</v>
      </c>
      <c r="BL41" s="2">
        <v>-0.49771976503033477</v>
      </c>
      <c r="BM41" s="2">
        <v>-1.1004134187370846</v>
      </c>
      <c r="BN41" s="2">
        <v>-1.0223626820705047</v>
      </c>
      <c r="BO41" s="2">
        <v>-0.99647157048022483</v>
      </c>
      <c r="BP41" s="2">
        <v>-0.5761917945552717</v>
      </c>
      <c r="BQ41" s="2">
        <v>-0.77349013720078375</v>
      </c>
      <c r="BR41" s="2">
        <v>-0.2968214574316167</v>
      </c>
      <c r="BS41" s="2">
        <v>-0.79865137043808776</v>
      </c>
      <c r="BT41" s="2">
        <v>-0.48637803174830274</v>
      </c>
      <c r="BU41" s="2">
        <v>-1.0755996472823748</v>
      </c>
      <c r="BV41" s="2">
        <v>-0.60125789112189176</v>
      </c>
      <c r="BW41" s="2">
        <v>-0.81423257846468067</v>
      </c>
      <c r="BY41">
        <f t="shared" si="0"/>
        <v>-0.69557219910483203</v>
      </c>
      <c r="BZ41">
        <f t="shared" si="1"/>
        <v>-0.7302446872134315</v>
      </c>
      <c r="CA41">
        <f t="shared" si="2"/>
        <v>1.0243242607458654</v>
      </c>
      <c r="CB41">
        <f t="shared" si="3"/>
        <v>0.77746393274382464</v>
      </c>
      <c r="CC41">
        <f t="shared" si="4"/>
        <v>3.4672488108599589E-2</v>
      </c>
      <c r="CD41">
        <f t="shared" si="5"/>
        <v>0.10931974914827332</v>
      </c>
      <c r="CE41" t="s">
        <v>78</v>
      </c>
      <c r="CH41" t="s">
        <v>68</v>
      </c>
      <c r="CI41">
        <v>-0.18634985602591658</v>
      </c>
      <c r="CJ41">
        <v>0.36795685391703137</v>
      </c>
    </row>
    <row r="42" spans="1:88" x14ac:dyDescent="0.2">
      <c r="A42" t="s">
        <v>79</v>
      </c>
      <c r="B42" s="1">
        <v>0.41120877890904639</v>
      </c>
      <c r="C42" s="1">
        <v>0.29799688625485832</v>
      </c>
      <c r="D42" s="1">
        <v>2.6708094046987805</v>
      </c>
      <c r="E42" s="1">
        <v>2.3509535124344803</v>
      </c>
      <c r="F42" s="1">
        <v>3.1960320584378903</v>
      </c>
      <c r="G42" s="1">
        <v>2.3319690139050202</v>
      </c>
      <c r="H42" s="1">
        <v>1.2346713043303004</v>
      </c>
      <c r="I42" s="1">
        <v>1.1246574105688603</v>
      </c>
      <c r="J42" s="1">
        <v>1.6045808248596032</v>
      </c>
      <c r="K42" s="1">
        <v>2.3332748832146226</v>
      </c>
      <c r="L42" s="1">
        <v>1.5573360357477632</v>
      </c>
      <c r="M42" s="1">
        <v>0.15558565471456631</v>
      </c>
      <c r="N42" s="1">
        <v>1.2252566015310604</v>
      </c>
      <c r="O42" s="1">
        <v>0.86539636515137031</v>
      </c>
      <c r="P42" s="1">
        <v>2.9565165325668104</v>
      </c>
      <c r="Q42" s="1">
        <v>2.8840133614669803</v>
      </c>
      <c r="R42" s="1">
        <v>4.3558793867519601</v>
      </c>
      <c r="S42" s="1">
        <v>2.5136676649785605</v>
      </c>
      <c r="T42" s="1">
        <v>2.3560848923459203</v>
      </c>
      <c r="U42" s="1">
        <v>2.0091605262599002</v>
      </c>
      <c r="V42" s="1">
        <v>1.5081963339840603</v>
      </c>
      <c r="W42" s="1">
        <v>0.27932839323579739</v>
      </c>
      <c r="X42" s="1">
        <v>1.1189424093177003</v>
      </c>
      <c r="Y42" s="1">
        <v>2.4329790942052303</v>
      </c>
      <c r="Z42" s="1">
        <v>1.6291556246468533</v>
      </c>
      <c r="AA42" s="1">
        <v>0.64850644635779386</v>
      </c>
      <c r="AB42" s="1">
        <v>1.7056376729744933</v>
      </c>
      <c r="AC42" s="1">
        <v>1.6310375435141635</v>
      </c>
      <c r="AD42" s="1">
        <v>1.2332346667489533</v>
      </c>
      <c r="AE42" s="1">
        <v>1.9551995010313132</v>
      </c>
      <c r="AF42" s="1">
        <v>1.2939504541076332</v>
      </c>
      <c r="AG42" s="1">
        <v>2.0296149352918533</v>
      </c>
      <c r="AH42" s="1">
        <v>2.2654266918846533</v>
      </c>
      <c r="AI42" s="1">
        <v>1.4300961086088932</v>
      </c>
      <c r="AJ42" s="1">
        <v>2.5383324075629132</v>
      </c>
      <c r="AK42" s="1">
        <v>3.5113617880617132</v>
      </c>
      <c r="AL42" s="2">
        <v>2.0704870178707422</v>
      </c>
      <c r="AM42" s="2">
        <v>3.638500328142432</v>
      </c>
      <c r="AN42" s="2">
        <v>2.2329050075991619</v>
      </c>
      <c r="AO42" s="2">
        <v>3.4696096478285918</v>
      </c>
      <c r="AP42" s="2">
        <v>1.9760043653969219</v>
      </c>
      <c r="AQ42" s="2">
        <v>3.0287577532946317</v>
      </c>
      <c r="AR42" s="2">
        <v>2.2594650122078619</v>
      </c>
      <c r="AS42" s="2">
        <v>0.50298117763953487</v>
      </c>
      <c r="AT42" s="2">
        <v>1.8871861037337718</v>
      </c>
      <c r="AU42" s="2">
        <v>1.6254030171201879</v>
      </c>
      <c r="AV42" s="2">
        <v>2.5907012271337821</v>
      </c>
      <c r="AW42" s="2">
        <v>2.3596484575089018</v>
      </c>
      <c r="AX42" s="2">
        <v>1.586321525238175</v>
      </c>
      <c r="AY42" s="2">
        <v>2.6352286308099817</v>
      </c>
      <c r="AZ42" s="2">
        <v>1.5051814411063489</v>
      </c>
      <c r="BA42" s="2">
        <v>2.6555231189809319</v>
      </c>
      <c r="BB42" s="2">
        <v>2.0578348394489718</v>
      </c>
      <c r="BC42" s="2">
        <v>0.7295934286959066</v>
      </c>
      <c r="BD42" s="2">
        <v>3.151154982470513</v>
      </c>
      <c r="BE42" s="2">
        <v>1.1837044680965678</v>
      </c>
      <c r="BF42" s="2">
        <v>3.1030364220236031</v>
      </c>
      <c r="BG42" s="2">
        <v>1.672335361496196</v>
      </c>
      <c r="BH42" s="2">
        <v>2.5095136817724719</v>
      </c>
      <c r="BI42" s="2">
        <v>2.2248571190673019</v>
      </c>
      <c r="BJ42" s="2">
        <v>1.8162442216491419</v>
      </c>
      <c r="BK42" s="2">
        <v>2.0087502221699216</v>
      </c>
      <c r="BL42" s="2">
        <v>1.512925097184469</v>
      </c>
      <c r="BM42" s="2">
        <v>0.7813846274817825</v>
      </c>
      <c r="BN42" s="2">
        <v>1.1980852658816239</v>
      </c>
      <c r="BO42" s="2">
        <v>1.4459036361817987</v>
      </c>
      <c r="BP42" s="2">
        <v>2.0454948468001919</v>
      </c>
      <c r="BQ42" s="2">
        <v>1.3352625417302018</v>
      </c>
      <c r="BR42" s="2">
        <v>1.536822024980129</v>
      </c>
      <c r="BS42" s="2">
        <v>1.1329935838790388</v>
      </c>
      <c r="BT42" s="2">
        <v>2.440446875846372</v>
      </c>
      <c r="BU42" s="2">
        <v>2.1022845016799119</v>
      </c>
      <c r="BV42" s="2">
        <v>1.8244670990251119</v>
      </c>
      <c r="BW42" s="2">
        <v>1.7836938063479919</v>
      </c>
      <c r="BY42">
        <f t="shared" si="0"/>
        <v>1.8235014214072882</v>
      </c>
      <c r="BZ42">
        <f t="shared" si="1"/>
        <v>1.9900182233031896</v>
      </c>
      <c r="CA42">
        <f t="shared" si="2"/>
        <v>0.89099126803012807</v>
      </c>
      <c r="CB42">
        <f t="shared" si="3"/>
        <v>0.40294674530476815</v>
      </c>
      <c r="CC42">
        <f t="shared" si="4"/>
        <v>-0.16651680189590146</v>
      </c>
      <c r="CD42">
        <f t="shared" si="5"/>
        <v>0.39475234777590307</v>
      </c>
      <c r="CE42" t="s">
        <v>79</v>
      </c>
      <c r="CH42" t="s">
        <v>119</v>
      </c>
      <c r="CI42">
        <v>0.18056148039396469</v>
      </c>
      <c r="CJ42">
        <v>0.35658726138124136</v>
      </c>
    </row>
    <row r="43" spans="1:88" x14ac:dyDescent="0.2">
      <c r="A43" t="s">
        <v>80</v>
      </c>
      <c r="B43" s="1">
        <v>3.541646303465757</v>
      </c>
      <c r="C43" s="1">
        <v>3.9021327238302068</v>
      </c>
      <c r="D43" s="1">
        <v>-1.0999885104607116E-2</v>
      </c>
      <c r="E43" s="1">
        <v>-0.26802305549895611</v>
      </c>
      <c r="F43" s="1">
        <v>-7.3742622589900997E-3</v>
      </c>
      <c r="G43" s="1">
        <v>0.43458636684331986</v>
      </c>
      <c r="H43" s="1">
        <v>0.36948037712327786</v>
      </c>
      <c r="I43" s="1">
        <v>0.50938694165066689</v>
      </c>
      <c r="J43" s="1">
        <v>0.45729884832955425</v>
      </c>
      <c r="K43" s="1">
        <v>2.4810215401687556</v>
      </c>
      <c r="L43" s="1">
        <v>-0.23235877184337894</v>
      </c>
      <c r="M43" s="1">
        <v>0.83649340262312633</v>
      </c>
      <c r="N43" s="1">
        <v>3.9848660081222897E-2</v>
      </c>
      <c r="O43" s="1">
        <v>1.4523165358167069</v>
      </c>
      <c r="P43" s="1">
        <v>5.0196202172426574</v>
      </c>
      <c r="Q43" s="1">
        <v>1.670618996969697</v>
      </c>
      <c r="R43" s="1">
        <v>-0.12367561707996011</v>
      </c>
      <c r="S43" s="1">
        <v>2.3926053116082668</v>
      </c>
      <c r="T43" s="1">
        <v>0.64639620820091293</v>
      </c>
      <c r="U43" s="1">
        <v>5.0304003711064667</v>
      </c>
      <c r="V43" s="1">
        <v>1.4688398451456568</v>
      </c>
      <c r="W43" s="1">
        <v>1.5492542384690868</v>
      </c>
      <c r="X43" s="1">
        <v>0.86046734341364695</v>
      </c>
      <c r="Y43" s="1">
        <v>0.52065844188375288</v>
      </c>
      <c r="Z43" s="1">
        <v>2.5141713687087766</v>
      </c>
      <c r="AA43" s="1">
        <v>0.16994473203725474</v>
      </c>
      <c r="AB43" s="1">
        <v>-0.23259279589886203</v>
      </c>
      <c r="AC43" s="1">
        <v>0.62012877720709825</v>
      </c>
      <c r="AD43" s="1">
        <v>2.9213782634584362</v>
      </c>
      <c r="AE43" s="1">
        <v>1.7953414648328161</v>
      </c>
      <c r="AF43" s="1">
        <v>0.37623933992421033</v>
      </c>
      <c r="AG43" s="1">
        <v>0.86666262606956623</v>
      </c>
      <c r="AH43" s="1">
        <v>1.3571961041116263</v>
      </c>
      <c r="AI43" s="1">
        <v>0.23714257674522432</v>
      </c>
      <c r="AJ43" s="1">
        <v>0.37090538516099025</v>
      </c>
      <c r="AK43" s="1">
        <v>1.6153619850594563</v>
      </c>
      <c r="AL43" s="2">
        <v>0.7110721336461624</v>
      </c>
      <c r="AM43" s="2">
        <v>-4.7049580544806277E-2</v>
      </c>
      <c r="AN43" s="2">
        <v>0.3397738169289764</v>
      </c>
      <c r="AO43" s="2">
        <v>-0.29568407289753956</v>
      </c>
      <c r="AP43" s="2">
        <v>-0.41959980465669255</v>
      </c>
      <c r="AQ43" s="2">
        <v>-2.0336364642709626</v>
      </c>
      <c r="AR43" s="2">
        <v>-2.0758035393799021</v>
      </c>
      <c r="AS43" s="2">
        <v>-1.9282175204436827</v>
      </c>
      <c r="AT43" s="2">
        <v>-1.0139823458016826</v>
      </c>
      <c r="AU43" s="2">
        <v>0.4147138972653604</v>
      </c>
      <c r="AV43" s="2">
        <v>-0.31826286590873359</v>
      </c>
      <c r="AW43" s="2">
        <v>-0.72332763348365858</v>
      </c>
      <c r="AX43" s="2">
        <v>1.1005428827305275</v>
      </c>
      <c r="AY43" s="2">
        <v>3.9759910592977974</v>
      </c>
      <c r="AZ43" s="2">
        <v>3.4088420185488975</v>
      </c>
      <c r="BA43" s="2">
        <v>4.7710922653887371</v>
      </c>
      <c r="BB43" s="2">
        <v>4.5483464346471676</v>
      </c>
      <c r="BC43" s="2">
        <v>3.6957587295820575</v>
      </c>
      <c r="BD43" s="2">
        <v>0.5887618521464526</v>
      </c>
      <c r="BE43" s="2">
        <v>-0.38664504368294156</v>
      </c>
      <c r="BF43" s="2">
        <v>0.58287582097355362</v>
      </c>
      <c r="BG43" s="2">
        <v>-1.4350308690567326</v>
      </c>
      <c r="BH43" s="2">
        <v>2.8070047158870475</v>
      </c>
      <c r="BI43" s="2">
        <v>3.2194401207136476</v>
      </c>
      <c r="BJ43" s="2">
        <v>3.6109365424999371</v>
      </c>
      <c r="BK43" s="2">
        <v>3.3605790087806175</v>
      </c>
      <c r="BL43" s="2">
        <v>3.4271654607597473</v>
      </c>
      <c r="BM43" s="2">
        <v>4.2101579016085475</v>
      </c>
      <c r="BN43" s="2">
        <v>-0.91588792618445258</v>
      </c>
      <c r="BO43" s="2">
        <v>-0.77324088028911053</v>
      </c>
      <c r="BP43" s="2">
        <v>4.8952603687826768</v>
      </c>
      <c r="BQ43" s="2">
        <v>3.9593600318438078</v>
      </c>
      <c r="BR43" s="2">
        <v>4.5461429519567771</v>
      </c>
      <c r="BS43" s="2">
        <v>4.8515681678149569</v>
      </c>
      <c r="BT43" s="2">
        <v>-0.73726834226434057</v>
      </c>
      <c r="BU43" s="2">
        <v>-0.97956540569354256</v>
      </c>
      <c r="BV43" s="2">
        <v>3.3069451346033176</v>
      </c>
      <c r="BW43" s="2">
        <v>2.3490141481928273</v>
      </c>
      <c r="BY43">
        <f t="shared" si="0"/>
        <v>1.2542366919334291</v>
      </c>
      <c r="BZ43">
        <f t="shared" si="1"/>
        <v>1.4367932413168634</v>
      </c>
      <c r="CA43">
        <f t="shared" si="2"/>
        <v>0.88114017432811653</v>
      </c>
      <c r="CB43">
        <f t="shared" si="3"/>
        <v>0.68315478270794217</v>
      </c>
      <c r="CC43">
        <f t="shared" si="4"/>
        <v>-0.18255654938343427</v>
      </c>
      <c r="CD43">
        <f t="shared" si="5"/>
        <v>0.1654808868599027</v>
      </c>
      <c r="CE43" t="s">
        <v>80</v>
      </c>
      <c r="CH43" t="s">
        <v>110</v>
      </c>
      <c r="CI43">
        <v>0.18624421222182652</v>
      </c>
      <c r="CJ43">
        <v>0.34726263565348475</v>
      </c>
    </row>
    <row r="44" spans="1:88" x14ac:dyDescent="0.2">
      <c r="A44" t="s">
        <v>81</v>
      </c>
      <c r="B44" s="1">
        <v>1.9482340042482695</v>
      </c>
      <c r="C44" s="1">
        <v>2.0758430265652197</v>
      </c>
      <c r="D44" s="1">
        <v>2.7498709869948694</v>
      </c>
      <c r="E44" s="1" t="s">
        <v>67</v>
      </c>
      <c r="F44" s="1">
        <v>0.98926089761949965</v>
      </c>
      <c r="G44" s="1">
        <v>0.77575614693657458</v>
      </c>
      <c r="H44" s="1">
        <v>1.0993417694985297</v>
      </c>
      <c r="I44" s="1">
        <v>1.2780731046373395</v>
      </c>
      <c r="J44" s="1">
        <v>0.7259682866856132</v>
      </c>
      <c r="K44" s="1">
        <v>2.9468577207106899</v>
      </c>
      <c r="L44" s="1">
        <v>1.3095309991145552</v>
      </c>
      <c r="M44" s="1">
        <v>-0.46697697201949384</v>
      </c>
      <c r="N44" s="1">
        <v>1.3073486824955696</v>
      </c>
      <c r="O44" s="1">
        <v>1.0228224724989796</v>
      </c>
      <c r="P44" s="1">
        <v>3.2951313837902796</v>
      </c>
      <c r="Q44" s="1">
        <v>2.8050757302098095</v>
      </c>
      <c r="R44" s="1">
        <v>3.1470882608334696</v>
      </c>
      <c r="S44" s="1">
        <v>1.6312856119668595</v>
      </c>
      <c r="T44" s="1">
        <v>1.5985967562938996</v>
      </c>
      <c r="U44" s="1">
        <v>2.3727205011952996</v>
      </c>
      <c r="V44" s="1">
        <v>1.8955800658955595</v>
      </c>
      <c r="W44" s="1">
        <v>1.3381991857485995</v>
      </c>
      <c r="X44" s="1">
        <v>1.6778510239151996</v>
      </c>
      <c r="Y44" s="1">
        <v>1.5614836262418497</v>
      </c>
      <c r="Z44" s="1">
        <v>0.92393201368754319</v>
      </c>
      <c r="AA44" s="1">
        <v>1.6604935243643895</v>
      </c>
      <c r="AB44" s="1">
        <v>0.99031207316434722</v>
      </c>
      <c r="AC44" s="1">
        <v>1.1673283927395941</v>
      </c>
      <c r="AD44" s="1">
        <v>1.1774674108215002</v>
      </c>
      <c r="AE44" s="1">
        <v>1.2529175721085593</v>
      </c>
      <c r="AF44" s="1">
        <v>1.0826529998424872</v>
      </c>
      <c r="AG44" s="1">
        <v>0.94824620992907915</v>
      </c>
      <c r="AH44" s="1">
        <v>1.6794157311723852</v>
      </c>
      <c r="AI44" s="1">
        <v>2.3874976325252253</v>
      </c>
      <c r="AJ44" s="1">
        <v>1.0431988371031702</v>
      </c>
      <c r="AK44" s="1">
        <v>1.0537411703148492</v>
      </c>
      <c r="AL44" s="2">
        <v>0.78690691192548234</v>
      </c>
      <c r="AM44" s="2">
        <v>2.6276031682727226</v>
      </c>
      <c r="AN44" s="2">
        <v>0.72499548956451232</v>
      </c>
      <c r="AO44" s="2">
        <v>1.9807119475392425</v>
      </c>
      <c r="AP44" s="2">
        <v>0.96663023014659233</v>
      </c>
      <c r="AQ44" s="2">
        <v>4.6549332367705365E-2</v>
      </c>
      <c r="AR44" s="2">
        <v>0.28386949413251339</v>
      </c>
      <c r="AS44" s="2">
        <v>0.39980224751938143</v>
      </c>
      <c r="AT44" s="2">
        <v>0.3377869018581614</v>
      </c>
      <c r="AU44" s="2">
        <v>1.8208204074660523</v>
      </c>
      <c r="AV44" s="2">
        <v>0.78902797899244237</v>
      </c>
      <c r="AW44" s="2">
        <v>1.5502576566616424</v>
      </c>
      <c r="AX44" s="2">
        <v>0.77348322987355234</v>
      </c>
      <c r="AY44" s="2">
        <v>1.9496050841050123</v>
      </c>
      <c r="AZ44" s="2">
        <v>2.3678690770874824</v>
      </c>
      <c r="BA44" s="2">
        <v>4.5686819579738325</v>
      </c>
      <c r="BB44" s="2">
        <v>5.0164927323298123</v>
      </c>
      <c r="BC44" s="2">
        <v>4.0403327029437328</v>
      </c>
      <c r="BD44" s="2">
        <v>2.5443781454153793</v>
      </c>
      <c r="BE44" s="2">
        <v>0.90504037119304237</v>
      </c>
      <c r="BF44" s="2">
        <v>2.1546627782448997</v>
      </c>
      <c r="BG44" s="2">
        <v>0.81790117430315235</v>
      </c>
      <c r="BH44" s="2">
        <v>1.6909181643160824</v>
      </c>
      <c r="BI44" s="2">
        <v>1.9551293773527725</v>
      </c>
      <c r="BJ44" s="2">
        <v>5.1360438223030025</v>
      </c>
      <c r="BK44" s="2">
        <v>4.2042725206693321</v>
      </c>
      <c r="BL44" s="2">
        <v>3.6292239280524727</v>
      </c>
      <c r="BM44" s="2">
        <v>3.2825390386363722</v>
      </c>
      <c r="BN44" s="2">
        <v>0.30308787180231234</v>
      </c>
      <c r="BO44" s="2">
        <v>0.70033191287408236</v>
      </c>
      <c r="BP44" s="2">
        <v>4.0485666900133221</v>
      </c>
      <c r="BQ44" s="2">
        <v>3.4462912883021426</v>
      </c>
      <c r="BR44" s="2">
        <v>6.098721839982602</v>
      </c>
      <c r="BS44" s="2">
        <v>4.3635721783458621</v>
      </c>
      <c r="BT44" s="2">
        <v>0.38508121782653737</v>
      </c>
      <c r="BU44" s="2">
        <v>-0.15260216460421161</v>
      </c>
      <c r="BV44" s="2">
        <v>1.8519884564890625</v>
      </c>
      <c r="BW44" s="2">
        <v>1.9837868534723424</v>
      </c>
      <c r="BY44">
        <f t="shared" ref="BY44:BY75" si="6">AVERAGE(B44:AK44)</f>
        <v>1.5557756239957194</v>
      </c>
      <c r="BZ44">
        <f t="shared" ref="BZ44:BZ75" si="7">AVERAGE(AL44:BW44)</f>
        <v>2.1152726846250114</v>
      </c>
      <c r="CA44">
        <f t="shared" ref="CA44:CA75" si="8">2^(BY44 - BZ44)</f>
        <v>0.67853866854574241</v>
      </c>
      <c r="CB44">
        <f t="shared" ref="CB44:CB75" si="9">_xlfn.T.TEST(B44:AK44,AL44:BW44, 2, 3)</f>
        <v>6.7883854449319769E-2</v>
      </c>
      <c r="CC44">
        <f t="shared" ref="CC44:CC75" si="10">LOG(CA44,2)</f>
        <v>-0.55949706062929205</v>
      </c>
      <c r="CD44">
        <f t="shared" ref="CD44:CD75" si="11">-LOG(CB44,10)</f>
        <v>1.1682335063875746</v>
      </c>
      <c r="CE44" t="s">
        <v>81</v>
      </c>
      <c r="CH44" t="s">
        <v>71</v>
      </c>
      <c r="CI44">
        <v>-0.11116760897662357</v>
      </c>
      <c r="CJ44">
        <v>0.34333951129296275</v>
      </c>
    </row>
    <row r="45" spans="1:88" x14ac:dyDescent="0.2">
      <c r="A45" t="s">
        <v>82</v>
      </c>
      <c r="B45" s="1">
        <v>-2.0489014543950579E-2</v>
      </c>
      <c r="C45" s="1">
        <v>-0.15635279926464163</v>
      </c>
      <c r="D45" s="1">
        <v>3.9549947347409611</v>
      </c>
      <c r="E45" s="1" t="s">
        <v>67</v>
      </c>
      <c r="F45" s="1">
        <v>2.4705943319760313</v>
      </c>
      <c r="G45" s="1">
        <v>2.7558811980349414</v>
      </c>
      <c r="H45" s="1">
        <v>0.35832318682966147</v>
      </c>
      <c r="I45" s="1">
        <v>0.9258218276471113</v>
      </c>
      <c r="J45" s="1">
        <v>1.9103613016569443</v>
      </c>
      <c r="K45" s="1">
        <v>2.5192156032505624</v>
      </c>
      <c r="L45" s="1">
        <v>3.8810638121631946</v>
      </c>
      <c r="M45" s="1">
        <v>-0.29582446196560958</v>
      </c>
      <c r="N45" s="1">
        <v>0.93878081352375142</v>
      </c>
      <c r="O45" s="1">
        <v>-0.3841562720085186</v>
      </c>
      <c r="P45" s="1" t="s">
        <v>67</v>
      </c>
      <c r="Q45" s="1">
        <v>5.7253133941401515</v>
      </c>
      <c r="R45" s="1">
        <v>7.1782906143250216</v>
      </c>
      <c r="S45" s="1">
        <v>2.0956021487888914</v>
      </c>
      <c r="T45" s="1">
        <v>1.6063514066378013</v>
      </c>
      <c r="U45" s="1">
        <v>1.8299037394525115</v>
      </c>
      <c r="V45" s="1">
        <v>1.3175874927070397E-2</v>
      </c>
      <c r="W45" s="1">
        <v>1.6357478169960715</v>
      </c>
      <c r="X45" s="1">
        <v>0.27198003410985128</v>
      </c>
      <c r="Y45" s="1">
        <v>2.4889359368719015</v>
      </c>
      <c r="Z45" s="1">
        <v>3.1951798720799145</v>
      </c>
      <c r="AA45" s="1">
        <v>1.2305789414929416</v>
      </c>
      <c r="AB45" s="1">
        <v>0.94553449803985434</v>
      </c>
      <c r="AC45" s="1">
        <v>1.2754296513415944</v>
      </c>
      <c r="AD45" s="1">
        <v>1.3646392206621545</v>
      </c>
      <c r="AE45" s="1">
        <v>2.5552940728027744</v>
      </c>
      <c r="AF45" s="1">
        <v>1.6746805160912146</v>
      </c>
      <c r="AG45" s="1">
        <v>1.2002572633799644</v>
      </c>
      <c r="AH45" s="1">
        <v>2.5501860881060243</v>
      </c>
      <c r="AI45" s="1">
        <v>4.5596055578477444</v>
      </c>
      <c r="AJ45" s="1">
        <v>3.8516615124329245</v>
      </c>
      <c r="AK45" s="1">
        <v>3.1287667444724243</v>
      </c>
      <c r="AL45" s="2">
        <v>2.3646757760285908</v>
      </c>
      <c r="AM45" s="2">
        <v>6.1681007916693504</v>
      </c>
      <c r="AN45" s="2">
        <v>2.1532903297852304</v>
      </c>
      <c r="AO45" s="2">
        <v>3.5154937066970904</v>
      </c>
      <c r="AP45" s="2">
        <v>2.2963950728600704</v>
      </c>
      <c r="AQ45" s="2">
        <v>1.5635810942317976</v>
      </c>
      <c r="AR45" s="2">
        <v>1.3668300990820186</v>
      </c>
      <c r="AS45" s="2">
        <v>1.5251942057901435</v>
      </c>
      <c r="AT45" s="2">
        <v>2.8888860081300405</v>
      </c>
      <c r="AU45" s="2">
        <v>2.4453909809410908</v>
      </c>
      <c r="AV45" s="2">
        <v>2.2899685078441907</v>
      </c>
      <c r="AW45" s="2">
        <v>2.8794405267829206</v>
      </c>
      <c r="AX45" s="2">
        <v>2.3227878740687604</v>
      </c>
      <c r="AY45" s="2">
        <v>2.9921321932054905</v>
      </c>
      <c r="AZ45" s="2">
        <v>1.4732464538768275</v>
      </c>
      <c r="BA45" s="2">
        <v>4.2050864191487207</v>
      </c>
      <c r="BB45" s="2">
        <v>3.2004483651531803</v>
      </c>
      <c r="BC45" s="2">
        <v>1.3993065344517426</v>
      </c>
      <c r="BD45" s="2">
        <v>3.4634514828024927</v>
      </c>
      <c r="BE45" s="2">
        <v>1.8634009808293244</v>
      </c>
      <c r="BF45" s="2">
        <v>3.3173114591454826</v>
      </c>
      <c r="BG45" s="2">
        <v>2.2051520790524002</v>
      </c>
      <c r="BH45" s="2">
        <v>2.2646523053857806</v>
      </c>
      <c r="BI45" s="2">
        <v>2.3177227144429908</v>
      </c>
      <c r="BJ45" s="2">
        <v>3.2440135555284106</v>
      </c>
      <c r="BK45" s="2">
        <v>3.0683096277154203</v>
      </c>
      <c r="BL45" s="2">
        <v>2.1916825686278205</v>
      </c>
      <c r="BM45" s="2">
        <v>2.1427876944740505</v>
      </c>
      <c r="BN45" s="2">
        <v>1.7956125234064926</v>
      </c>
      <c r="BO45" s="2">
        <v>2.4198688981933207</v>
      </c>
      <c r="BP45" s="2">
        <v>1.2739661410715106</v>
      </c>
      <c r="BQ45" s="2">
        <v>1.2086239717674665</v>
      </c>
      <c r="BR45" s="2">
        <v>1.8669699833456745</v>
      </c>
      <c r="BS45" s="2">
        <v>1.8308296256592924</v>
      </c>
      <c r="BT45" s="2">
        <v>2.7387215388466508</v>
      </c>
      <c r="BU45" s="2">
        <v>3.0744218972360402</v>
      </c>
      <c r="BV45" s="2">
        <v>2.5289446685925605</v>
      </c>
      <c r="BW45" s="2">
        <v>2.9398605614099105</v>
      </c>
      <c r="BY45">
        <f t="shared" si="6"/>
        <v>2.0363332107952723</v>
      </c>
      <c r="BZ45">
        <f t="shared" si="7"/>
        <v>2.4949094530863243</v>
      </c>
      <c r="CA45">
        <f t="shared" si="8"/>
        <v>0.72770405636630886</v>
      </c>
      <c r="CB45">
        <f t="shared" si="9"/>
        <v>0.17359574190695384</v>
      </c>
      <c r="CC45">
        <f t="shared" si="10"/>
        <v>-0.45857624229105193</v>
      </c>
      <c r="CD45">
        <f t="shared" si="11"/>
        <v>0.7604609317458938</v>
      </c>
      <c r="CE45" t="s">
        <v>82</v>
      </c>
      <c r="CH45" t="s">
        <v>70</v>
      </c>
      <c r="CI45">
        <v>-0.16607514130911696</v>
      </c>
      <c r="CJ45">
        <v>0.3190522390073478</v>
      </c>
    </row>
    <row r="46" spans="1:88" x14ac:dyDescent="0.2">
      <c r="A46" t="s">
        <v>83</v>
      </c>
      <c r="B46" s="1">
        <v>-1.7821368604201102</v>
      </c>
      <c r="C46" s="1">
        <v>-0.69136499211222335</v>
      </c>
      <c r="D46" s="1">
        <v>0.38876273849550458</v>
      </c>
      <c r="E46" s="1">
        <v>0.40791041668992056</v>
      </c>
      <c r="F46" s="1">
        <v>-1.3182775131322424</v>
      </c>
      <c r="G46" s="1">
        <v>-0.14481208684666441</v>
      </c>
      <c r="H46" s="1">
        <v>-1.1328208851387234</v>
      </c>
      <c r="I46" s="1">
        <v>-0.48103725688957077</v>
      </c>
      <c r="J46" s="1">
        <v>-0.2512707238934303</v>
      </c>
      <c r="K46" s="1">
        <v>-0.15331512363862987</v>
      </c>
      <c r="L46" s="1">
        <v>-0.21353618404235131</v>
      </c>
      <c r="M46" s="1">
        <v>0.4255474737137166</v>
      </c>
      <c r="N46" s="1">
        <v>-5.8915741234117414E-2</v>
      </c>
      <c r="O46" s="1">
        <v>-0.64263074249018037</v>
      </c>
      <c r="P46" s="1">
        <v>1.3810707615284294</v>
      </c>
      <c r="Q46" s="1">
        <v>0.76532804266318955</v>
      </c>
      <c r="R46" s="1">
        <v>0.44866721101758056</v>
      </c>
      <c r="S46" s="1">
        <v>0.72399723757686962</v>
      </c>
      <c r="T46" s="1">
        <v>-0.62083342397866637</v>
      </c>
      <c r="U46" s="1">
        <v>4.1706829254598621E-2</v>
      </c>
      <c r="V46" s="1">
        <v>-0.25714436735425739</v>
      </c>
      <c r="W46" s="1">
        <v>-0.98278336854047443</v>
      </c>
      <c r="X46" s="1">
        <v>-0.88615975373919631</v>
      </c>
      <c r="Y46" s="1">
        <v>-0.24702885099106339</v>
      </c>
      <c r="Z46" s="1">
        <v>0.15722325612303867</v>
      </c>
      <c r="AA46" s="1">
        <v>-0.31584209808992386</v>
      </c>
      <c r="AB46" s="1">
        <v>-0.71781536792444167</v>
      </c>
      <c r="AC46" s="1">
        <v>-0.42597692280359833</v>
      </c>
      <c r="AD46" s="1">
        <v>-0.99599878500530936</v>
      </c>
      <c r="AE46" s="1">
        <v>0.10174881640312672</v>
      </c>
      <c r="AF46" s="1">
        <v>-0.45936098983717433</v>
      </c>
      <c r="AG46" s="1">
        <v>-0.61679272572275545</v>
      </c>
      <c r="AH46" s="1">
        <v>2.4718242290891701E-2</v>
      </c>
      <c r="AI46" s="1">
        <v>-0.92967285707107328</v>
      </c>
      <c r="AJ46" s="1">
        <v>0.48772253527679665</v>
      </c>
      <c r="AK46" s="1">
        <v>0.71231454305295672</v>
      </c>
      <c r="AL46" s="2">
        <v>-0.44409795270660013</v>
      </c>
      <c r="AM46" s="2">
        <v>1.1169964973597819</v>
      </c>
      <c r="AN46" s="2">
        <v>-0.55298388804191012</v>
      </c>
      <c r="AO46" s="2">
        <v>1.1971502293818908</v>
      </c>
      <c r="AP46" s="2">
        <v>-7.0922863130890135E-2</v>
      </c>
      <c r="AQ46" s="2">
        <v>0.31053804602525181</v>
      </c>
      <c r="AR46" s="2">
        <v>0.32142062785291481</v>
      </c>
      <c r="AS46" s="2">
        <v>-0.80643102329525018</v>
      </c>
      <c r="AT46" s="2">
        <v>0.8376799531557988</v>
      </c>
      <c r="AU46" s="2">
        <v>0.17404194525113781</v>
      </c>
      <c r="AV46" s="2">
        <v>-0.10256245898942018</v>
      </c>
      <c r="AW46" s="2">
        <v>-0.22531158057325029</v>
      </c>
      <c r="AX46" s="2">
        <v>-0.2290085228364801</v>
      </c>
      <c r="AY46" s="2">
        <v>0.64835958073023581</v>
      </c>
      <c r="AZ46" s="2">
        <v>-0.54636047508451024</v>
      </c>
      <c r="BA46" s="2">
        <v>0.23797741795468286</v>
      </c>
      <c r="BB46" s="2">
        <v>0.7633285913089628</v>
      </c>
      <c r="BC46" s="2">
        <v>-0.82956479392727023</v>
      </c>
      <c r="BD46" s="2">
        <v>0.18329450946904785</v>
      </c>
      <c r="BE46" s="2">
        <v>-0.20744355813619009</v>
      </c>
      <c r="BF46" s="2">
        <v>-0.10032574264075989</v>
      </c>
      <c r="BG46" s="2">
        <v>-0.65944735956118017</v>
      </c>
      <c r="BH46" s="2">
        <v>-0.21862768742000027</v>
      </c>
      <c r="BI46" s="2">
        <v>0.31500496967063885</v>
      </c>
      <c r="BJ46" s="2">
        <v>-0.29573807266411023</v>
      </c>
      <c r="BK46" s="2">
        <v>0.22305458825653979</v>
      </c>
      <c r="BL46" s="2">
        <v>-0.61135661279240028</v>
      </c>
      <c r="BM46" s="2">
        <v>0.18766081401969781</v>
      </c>
      <c r="BN46" s="2">
        <v>0.1157440401178258</v>
      </c>
      <c r="BO46" s="2">
        <v>-4.7425572189290111E-2</v>
      </c>
      <c r="BP46" s="2">
        <v>-0.11988114595350019</v>
      </c>
      <c r="BQ46" s="2">
        <v>-0.96014999777166021</v>
      </c>
      <c r="BR46" s="2">
        <v>-0.98932803124985014</v>
      </c>
      <c r="BS46" s="2">
        <v>-0.54160648154359026</v>
      </c>
      <c r="BT46" s="2">
        <v>1.0508333283287097</v>
      </c>
      <c r="BU46" s="2">
        <v>1.7779176658595279</v>
      </c>
      <c r="BV46" s="2">
        <v>0.3544459655247798</v>
      </c>
      <c r="BW46" s="2">
        <v>0.24816620129083378</v>
      </c>
      <c r="BY46">
        <f t="shared" si="6"/>
        <v>-0.22941137546693213</v>
      </c>
      <c r="BZ46">
        <f t="shared" si="7"/>
        <v>3.9606346080266988E-2</v>
      </c>
      <c r="CA46">
        <f t="shared" si="8"/>
        <v>0.82988439152587024</v>
      </c>
      <c r="CB46">
        <f t="shared" si="9"/>
        <v>7.9545087722319233E-2</v>
      </c>
      <c r="CC46">
        <f t="shared" si="10"/>
        <v>-0.26901772154719905</v>
      </c>
      <c r="CD46">
        <f t="shared" si="11"/>
        <v>1.0993866348855563</v>
      </c>
      <c r="CE46" t="s">
        <v>83</v>
      </c>
      <c r="CH46" t="s">
        <v>65</v>
      </c>
      <c r="CI46">
        <v>-0.17166062115210101</v>
      </c>
      <c r="CJ46">
        <v>0.31284786469188175</v>
      </c>
    </row>
    <row r="47" spans="1:88" x14ac:dyDescent="0.2">
      <c r="A47" t="s">
        <v>84</v>
      </c>
      <c r="B47" s="1">
        <v>0.95270170436341362</v>
      </c>
      <c r="C47" s="1">
        <v>1.5389905350228137</v>
      </c>
      <c r="D47" s="1">
        <v>5.2631176316606538</v>
      </c>
      <c r="E47" s="1">
        <v>4.5425305310012529</v>
      </c>
      <c r="F47" s="1">
        <v>0.4531316190153436</v>
      </c>
      <c r="G47" s="1">
        <v>0.93454549692138356</v>
      </c>
      <c r="H47" s="1">
        <v>1.3113810122476637</v>
      </c>
      <c r="I47" s="1">
        <v>1.3756283379655638</v>
      </c>
      <c r="J47" s="1">
        <v>2.0228406717150529</v>
      </c>
      <c r="K47" s="1">
        <v>1.9103845072674166</v>
      </c>
      <c r="L47" s="1">
        <v>1.3947556921550928</v>
      </c>
      <c r="M47" s="1">
        <v>2.2284543844543827</v>
      </c>
      <c r="N47" s="1">
        <v>2.3165046036514738</v>
      </c>
      <c r="O47" s="1">
        <v>0.83570464644545361</v>
      </c>
      <c r="P47" s="1">
        <v>7.2751968276017838</v>
      </c>
      <c r="Q47" s="1">
        <v>4.933531262527433</v>
      </c>
      <c r="R47" s="1">
        <v>4.4477752688822445</v>
      </c>
      <c r="S47" s="1">
        <v>2.1108829140790735</v>
      </c>
      <c r="T47" s="1">
        <v>0.97886337656602374</v>
      </c>
      <c r="U47" s="1">
        <v>1.2697687518937335</v>
      </c>
      <c r="V47" s="1">
        <v>1.7555226085757538</v>
      </c>
      <c r="W47" s="1">
        <v>1.2446737239472836</v>
      </c>
      <c r="X47" s="1">
        <v>1.5961323328248538</v>
      </c>
      <c r="Y47" s="1">
        <v>1.2213926671444137</v>
      </c>
      <c r="Z47" s="1">
        <v>0.76171350184446174</v>
      </c>
      <c r="AA47" s="1">
        <v>2.0496863020620957</v>
      </c>
      <c r="AB47" s="1">
        <v>1.6963255577768428</v>
      </c>
      <c r="AC47" s="1">
        <v>2.0737102150249225</v>
      </c>
      <c r="AD47" s="1">
        <v>1.7335642324015428</v>
      </c>
      <c r="AE47" s="1">
        <v>2.1850383652691026</v>
      </c>
      <c r="AF47" s="1">
        <v>1.7726605478949826</v>
      </c>
      <c r="AG47" s="1">
        <v>1.8493645904385727</v>
      </c>
      <c r="AH47" s="1">
        <v>4.499156920746203</v>
      </c>
      <c r="AI47" s="1">
        <v>1.8798739842970127</v>
      </c>
      <c r="AJ47" s="1">
        <v>1.6396649631726228</v>
      </c>
      <c r="AK47" s="1">
        <v>1.5118063382824627</v>
      </c>
      <c r="AL47" s="2">
        <v>3.1576969833892918</v>
      </c>
      <c r="AM47" s="2">
        <v>4.0812200022368419</v>
      </c>
      <c r="AN47" s="2">
        <v>4.4213676759680123</v>
      </c>
      <c r="AO47" s="2">
        <v>2.8659588492522317</v>
      </c>
      <c r="AP47" s="2">
        <v>1.2598544547713786</v>
      </c>
      <c r="AQ47" s="2">
        <v>1.1976605086760916</v>
      </c>
      <c r="AR47" s="2">
        <v>1.4325010627258516</v>
      </c>
      <c r="AS47" s="2">
        <v>2.1846084508687218</v>
      </c>
      <c r="AT47" s="2">
        <v>2.0516328398406216</v>
      </c>
      <c r="AU47" s="2">
        <v>1.6571370620193315</v>
      </c>
      <c r="AV47" s="2">
        <v>2.7773874163892618</v>
      </c>
      <c r="AW47" s="2">
        <v>5.2190203535852611</v>
      </c>
      <c r="AX47" s="2">
        <v>2.2970323201137015</v>
      </c>
      <c r="AY47" s="2">
        <v>2.0890717449822915</v>
      </c>
      <c r="AZ47" s="2">
        <v>2.6963603156284015</v>
      </c>
      <c r="BA47" s="2">
        <v>2.0380633349860116</v>
      </c>
      <c r="BB47" s="2">
        <v>2.6320581823319915</v>
      </c>
      <c r="BC47" s="2">
        <v>4.3618711741772511</v>
      </c>
      <c r="BD47" s="2">
        <v>2.6309465717798179</v>
      </c>
      <c r="BE47" s="2">
        <v>1.2583729525242355</v>
      </c>
      <c r="BF47" s="2">
        <v>2.1089842281038735</v>
      </c>
      <c r="BG47" s="2">
        <v>3.5332713391133015</v>
      </c>
      <c r="BH47" s="2">
        <v>2.2883676220620615</v>
      </c>
      <c r="BI47" s="2">
        <v>1.7191555322579217</v>
      </c>
      <c r="BJ47" s="2">
        <v>1.5886577450248816</v>
      </c>
      <c r="BK47" s="2">
        <v>1.5241903659431717</v>
      </c>
      <c r="BL47" s="2">
        <v>2.1424575334888214</v>
      </c>
      <c r="BM47" s="2">
        <v>3.2434932983443217</v>
      </c>
      <c r="BN47" s="2">
        <v>1.3691783735597416</v>
      </c>
      <c r="BO47" s="2">
        <v>1.0959559142402546</v>
      </c>
      <c r="BP47" s="2">
        <v>2.6587927247435617</v>
      </c>
      <c r="BQ47" s="2">
        <v>3.5369801093971915</v>
      </c>
      <c r="BR47" s="2">
        <v>3.3571753910506614</v>
      </c>
      <c r="BS47" s="2">
        <v>3.4445480742127317</v>
      </c>
      <c r="BT47" s="2">
        <v>2.2558123249441318</v>
      </c>
      <c r="BU47" s="2">
        <v>2.0888778870905513</v>
      </c>
      <c r="BV47" s="2">
        <v>1.7171484467719815</v>
      </c>
      <c r="BW47" s="2">
        <v>1.1836491253162467</v>
      </c>
      <c r="BY47">
        <f t="shared" si="6"/>
        <v>2.1546382396427886</v>
      </c>
      <c r="BZ47">
        <f t="shared" si="7"/>
        <v>2.4517504813661057</v>
      </c>
      <c r="CA47">
        <f t="shared" si="8"/>
        <v>0.81387986272618662</v>
      </c>
      <c r="CB47">
        <f t="shared" si="9"/>
        <v>0.3222034049967909</v>
      </c>
      <c r="CC47">
        <f t="shared" si="10"/>
        <v>-0.29711224172331718</v>
      </c>
      <c r="CD47">
        <f t="shared" si="11"/>
        <v>0.49186987433423257</v>
      </c>
      <c r="CE47" t="s">
        <v>84</v>
      </c>
      <c r="CH47" t="s">
        <v>56</v>
      </c>
      <c r="CI47">
        <v>-0.19687920815895615</v>
      </c>
      <c r="CJ47">
        <v>0.31091957653182128</v>
      </c>
    </row>
    <row r="48" spans="1:88" x14ac:dyDescent="0.2">
      <c r="A48" t="s">
        <v>85</v>
      </c>
      <c r="B48" s="1">
        <v>-0.22978403201902042</v>
      </c>
      <c r="C48" s="1">
        <v>0.50439137158128156</v>
      </c>
      <c r="D48" s="1">
        <v>2.4014687369223315</v>
      </c>
      <c r="E48" s="1">
        <v>2.6105171930633517</v>
      </c>
      <c r="F48" s="1">
        <v>1.2592902821641514</v>
      </c>
      <c r="G48" s="1">
        <v>1.1089998332356816</v>
      </c>
      <c r="H48" s="1">
        <v>0.27768110137971158</v>
      </c>
      <c r="I48" s="1">
        <v>1.5356037227970514</v>
      </c>
      <c r="J48" s="1">
        <v>1.690399024745741</v>
      </c>
      <c r="K48" s="1">
        <v>1.5885423958399687</v>
      </c>
      <c r="L48" s="1">
        <v>2.875126118197981</v>
      </c>
      <c r="M48" s="1">
        <v>-1.2045189602429889</v>
      </c>
      <c r="N48" s="1">
        <v>1.0669654290391715</v>
      </c>
      <c r="O48" s="1">
        <v>0.44700115576622168</v>
      </c>
      <c r="P48" s="1">
        <v>1.9186920462866317</v>
      </c>
      <c r="Q48" s="1">
        <v>3.8623793495947414</v>
      </c>
      <c r="R48" s="1">
        <v>3.449699827363772</v>
      </c>
      <c r="S48" s="1">
        <v>1.6362956594499016</v>
      </c>
      <c r="T48" s="1">
        <v>0.68229975398257148</v>
      </c>
      <c r="U48" s="1">
        <v>-6.0774942090149442E-2</v>
      </c>
      <c r="V48" s="1">
        <v>0.35458073814862168</v>
      </c>
      <c r="W48" s="1">
        <v>2.1408186455320219</v>
      </c>
      <c r="X48" s="1">
        <v>0.9408008714648215</v>
      </c>
      <c r="Y48" s="1">
        <v>1.1416822099212915</v>
      </c>
      <c r="Z48" s="1">
        <v>1.800383711958381</v>
      </c>
      <c r="AA48" s="1">
        <v>2.3370968393165299</v>
      </c>
      <c r="AB48" s="1">
        <v>0.14526694335925405</v>
      </c>
      <c r="AC48" s="1">
        <v>0.17191738966047404</v>
      </c>
      <c r="AD48" s="1">
        <v>1.2980118130750011</v>
      </c>
      <c r="AE48" s="1">
        <v>0.14857213282003184</v>
      </c>
      <c r="AF48" s="1">
        <v>-5.2753433152027962E-2</v>
      </c>
      <c r="AG48" s="1">
        <v>0.11331516659258904</v>
      </c>
      <c r="AH48" s="1">
        <v>0.88172451666622209</v>
      </c>
      <c r="AI48" s="1">
        <v>2.3987849411478308</v>
      </c>
      <c r="AJ48" s="1">
        <v>1.8689217232826711</v>
      </c>
      <c r="AK48" s="1">
        <v>1.5300797855609611</v>
      </c>
      <c r="AL48" s="2">
        <v>1.6893998530495606</v>
      </c>
      <c r="AM48" s="2">
        <v>3.2159616249453205</v>
      </c>
      <c r="AN48" s="2">
        <v>1.9988223411421506</v>
      </c>
      <c r="AO48" s="2">
        <v>2.7500999442353904</v>
      </c>
      <c r="AP48" s="2">
        <v>2.1804893806893904</v>
      </c>
      <c r="AQ48" s="2">
        <v>0.49572692559412246</v>
      </c>
      <c r="AR48" s="2">
        <v>0.60515807407287625</v>
      </c>
      <c r="AS48" s="2">
        <v>1.4677259313454916</v>
      </c>
      <c r="AT48" s="2">
        <v>1.7070087567522205</v>
      </c>
      <c r="AU48" s="2">
        <v>1.5451475526883105</v>
      </c>
      <c r="AV48" s="2">
        <v>1.5996557759581904</v>
      </c>
      <c r="AW48" s="2">
        <v>0.59937475519560901</v>
      </c>
      <c r="AX48" s="2">
        <v>0.13638334812479946</v>
      </c>
      <c r="AY48" s="2">
        <v>1.0964254724995235</v>
      </c>
      <c r="AZ48" s="2">
        <v>1.0684157150820786</v>
      </c>
      <c r="BA48" s="2">
        <v>3.0180954855551403</v>
      </c>
      <c r="BB48" s="2">
        <v>2.1092311743681504</v>
      </c>
      <c r="BC48" s="2">
        <v>1.2027655304455114</v>
      </c>
      <c r="BD48" s="2">
        <v>1.6268381010396826</v>
      </c>
      <c r="BE48" s="2">
        <v>0.9605344126188855</v>
      </c>
      <c r="BF48" s="2">
        <v>0.13893541285355171</v>
      </c>
      <c r="BG48" s="2">
        <v>1.3341252270075175</v>
      </c>
      <c r="BH48" s="2">
        <v>0.98330746366953747</v>
      </c>
      <c r="BI48" s="2">
        <v>-0.35412529418288452</v>
      </c>
      <c r="BJ48" s="2">
        <v>2.7759251568204304</v>
      </c>
      <c r="BK48" s="2">
        <v>2.4419479851510206</v>
      </c>
      <c r="BL48" s="2">
        <v>1.2422950670347985</v>
      </c>
      <c r="BM48" s="2">
        <v>1.4277552856104305</v>
      </c>
      <c r="BN48" s="2">
        <v>1.5582847516714204</v>
      </c>
      <c r="BO48" s="2">
        <v>1.8894867800596704</v>
      </c>
      <c r="BP48" s="2">
        <v>0.78172114682771943</v>
      </c>
      <c r="BQ48" s="2">
        <v>0.94711262410372754</v>
      </c>
      <c r="BR48" s="2">
        <v>0.84776875228975146</v>
      </c>
      <c r="BS48" s="2">
        <v>1.6691416552432803</v>
      </c>
      <c r="BT48" s="2">
        <v>0.54171682917150843</v>
      </c>
      <c r="BU48" s="2">
        <v>-2.6538385487241523E-2</v>
      </c>
      <c r="BV48" s="2">
        <v>0.82230199934296144</v>
      </c>
      <c r="BW48" s="2">
        <v>1.6887212365131603</v>
      </c>
      <c r="BY48">
        <f t="shared" si="6"/>
        <v>1.2399855295114661</v>
      </c>
      <c r="BZ48">
        <f t="shared" si="7"/>
        <v>1.3627143118184935</v>
      </c>
      <c r="CA48">
        <f t="shared" si="8"/>
        <v>0.9184488087347451</v>
      </c>
      <c r="CB48">
        <f t="shared" si="9"/>
        <v>0.59296756457796318</v>
      </c>
      <c r="CC48">
        <f t="shared" si="10"/>
        <v>-0.12272878230702737</v>
      </c>
      <c r="CD48">
        <f t="shared" si="11"/>
        <v>0.22696906196469074</v>
      </c>
      <c r="CE48" t="s">
        <v>85</v>
      </c>
      <c r="CH48" t="s">
        <v>122</v>
      </c>
      <c r="CI48">
        <v>-0.13138613733855853</v>
      </c>
      <c r="CJ48">
        <v>0.31014631700418405</v>
      </c>
    </row>
    <row r="49" spans="1:88" x14ac:dyDescent="0.2">
      <c r="A49" t="s">
        <v>86</v>
      </c>
      <c r="B49" s="1">
        <v>-1.3245671402673208E-2</v>
      </c>
      <c r="C49" s="1">
        <v>0.81330238220038598</v>
      </c>
      <c r="D49" s="1">
        <v>-0.64743336327903811</v>
      </c>
      <c r="E49" s="1">
        <v>-0.28335591990289299</v>
      </c>
      <c r="F49" s="1">
        <v>-1.176377783774545</v>
      </c>
      <c r="G49" s="1">
        <v>1.7796475503583851</v>
      </c>
      <c r="H49" s="1">
        <v>-0.77584798641488195</v>
      </c>
      <c r="I49" s="1">
        <v>0.40456902842132497</v>
      </c>
      <c r="J49" s="1">
        <v>-1.4549333370350239</v>
      </c>
      <c r="K49" s="1">
        <v>-0.44572502114057716</v>
      </c>
      <c r="L49" s="1">
        <v>-0.75610067188531804</v>
      </c>
      <c r="M49" s="1">
        <v>6.4103340175850995E-2</v>
      </c>
      <c r="N49" s="1">
        <v>-0.14784396362051599</v>
      </c>
      <c r="O49" s="1">
        <v>-0.47074368292348501</v>
      </c>
      <c r="P49" s="1">
        <v>-0.79409632891419291</v>
      </c>
      <c r="Q49" s="1">
        <v>-0.30148499108540899</v>
      </c>
      <c r="R49" s="1">
        <v>-0.282455912825267</v>
      </c>
      <c r="S49" s="1">
        <v>-0.40884809705299802</v>
      </c>
      <c r="T49" s="1">
        <v>-0.70823536504233298</v>
      </c>
      <c r="U49" s="1">
        <v>-0.11211567239192871</v>
      </c>
      <c r="V49" s="1">
        <v>-0.87957351446435994</v>
      </c>
      <c r="W49" s="1">
        <v>-0.40782772864920902</v>
      </c>
      <c r="X49" s="1">
        <v>-0.65634200270985099</v>
      </c>
      <c r="Y49" s="1">
        <v>-0.78221795074201506</v>
      </c>
      <c r="Z49" s="1">
        <v>0.226183938622951</v>
      </c>
      <c r="AA49" s="1">
        <v>-0.35939942130764119</v>
      </c>
      <c r="AB49" s="1">
        <v>-0.36240053899790298</v>
      </c>
      <c r="AC49" s="1">
        <v>-5.4752462111336997E-2</v>
      </c>
      <c r="AD49" s="1">
        <v>-0.364378570401718</v>
      </c>
      <c r="AE49" s="1">
        <v>-0.28678125022304701</v>
      </c>
      <c r="AF49" s="1">
        <v>-0.41250000718779301</v>
      </c>
      <c r="AG49" s="1">
        <v>0.37410981769931501</v>
      </c>
      <c r="AH49" s="1">
        <v>-0.51087257805781894</v>
      </c>
      <c r="AI49" s="1">
        <v>-0.42841958262001695</v>
      </c>
      <c r="AJ49" s="1">
        <v>-1.4788079845408539</v>
      </c>
      <c r="AK49" s="1">
        <v>-0.87967625289334306</v>
      </c>
      <c r="AL49" s="2">
        <v>-0.64397538497830686</v>
      </c>
      <c r="AM49" s="2">
        <v>-0.6269906489554008</v>
      </c>
      <c r="AN49" s="2">
        <v>-0.71310969078539488</v>
      </c>
      <c r="AO49" s="2">
        <v>-0.68854772362978689</v>
      </c>
      <c r="AP49" s="2">
        <v>-1.2167127179302226E-2</v>
      </c>
      <c r="AQ49" s="2">
        <v>-0.67193176856951986</v>
      </c>
      <c r="AR49" s="2">
        <v>-0.26229094495589983</v>
      </c>
      <c r="AS49" s="2">
        <v>-0.49122363713840678</v>
      </c>
      <c r="AT49" s="2">
        <v>-0.2961162183635998</v>
      </c>
      <c r="AU49" s="2">
        <v>0.47450547722015413</v>
      </c>
      <c r="AV49" s="2">
        <v>-0.55404549100541078</v>
      </c>
      <c r="AW49" s="2">
        <v>-1.4306695775315297</v>
      </c>
      <c r="AX49" s="2">
        <v>-3.7169105650558254E-3</v>
      </c>
      <c r="AY49" s="2">
        <v>-0.18269960010629543</v>
      </c>
      <c r="AZ49" s="2">
        <v>-1.0059521643784508</v>
      </c>
      <c r="BA49" s="2">
        <v>-0.39763271896929586</v>
      </c>
      <c r="BB49" s="2">
        <v>-0.87493774564236981</v>
      </c>
      <c r="BC49" s="2">
        <v>-0.52523563943558782</v>
      </c>
      <c r="BD49" s="2">
        <v>0.40134194359409281</v>
      </c>
      <c r="BE49" s="2">
        <v>7.0567724879152166E-2</v>
      </c>
      <c r="BF49" s="2">
        <v>-0.12521875774871022</v>
      </c>
      <c r="BG49" s="2">
        <v>-0.68512122986204183</v>
      </c>
      <c r="BH49" s="2">
        <v>-0.24764432203191483</v>
      </c>
      <c r="BI49" s="2">
        <v>-0.94561817989304087</v>
      </c>
      <c r="BJ49" s="2">
        <v>-0.5116815267215038</v>
      </c>
      <c r="BK49" s="2">
        <v>-0.56945449005920878</v>
      </c>
      <c r="BL49" s="2">
        <v>-0.65797642127549083</v>
      </c>
      <c r="BM49" s="2">
        <v>-1.0646938164791058</v>
      </c>
      <c r="BN49" s="2">
        <v>-0.11564067555296345</v>
      </c>
      <c r="BO49" s="2">
        <v>-0.13804435511683413</v>
      </c>
      <c r="BP49" s="2">
        <v>-0.52238795732268284</v>
      </c>
      <c r="BQ49" s="2">
        <v>-0.71810262729749286</v>
      </c>
      <c r="BR49" s="2">
        <v>-0.36206243461340082</v>
      </c>
      <c r="BS49" s="2">
        <v>0.1678353823030502</v>
      </c>
      <c r="BT49" s="2">
        <v>-3.4528819268244221E-2</v>
      </c>
      <c r="BU49" s="2">
        <v>-0.51149908153439483</v>
      </c>
      <c r="BV49" s="2">
        <v>2.172241459717017E-2</v>
      </c>
      <c r="BW49" s="2">
        <v>-0.37443400292718187</v>
      </c>
      <c r="BY49">
        <f t="shared" si="6"/>
        <v>-0.36057993211443817</v>
      </c>
      <c r="BZ49">
        <f t="shared" si="7"/>
        <v>-0.4165625986131633</v>
      </c>
      <c r="CA49">
        <f t="shared" si="8"/>
        <v>1.0395669450490184</v>
      </c>
      <c r="CB49">
        <f t="shared" si="9"/>
        <v>0.64146673887432692</v>
      </c>
      <c r="CC49">
        <f t="shared" si="10"/>
        <v>5.5982666498725207E-2</v>
      </c>
      <c r="CD49">
        <f t="shared" si="11"/>
        <v>0.19282585760212698</v>
      </c>
      <c r="CE49" t="s">
        <v>86</v>
      </c>
      <c r="CH49" t="s">
        <v>95</v>
      </c>
      <c r="CI49">
        <v>0.11309116661065678</v>
      </c>
      <c r="CJ49">
        <v>0.28780817470640269</v>
      </c>
    </row>
    <row r="50" spans="1:88" x14ac:dyDescent="0.2">
      <c r="A50" t="s">
        <v>87</v>
      </c>
      <c r="B50" s="1">
        <v>1.7536277143493009</v>
      </c>
      <c r="C50" s="1">
        <v>1.6283476778514907</v>
      </c>
      <c r="D50" s="1">
        <v>4.590935589953661</v>
      </c>
      <c r="E50" s="1">
        <v>3.945009100685581</v>
      </c>
      <c r="F50" s="1">
        <v>1.2704381933451807</v>
      </c>
      <c r="G50" s="1">
        <v>1.6014762245687808</v>
      </c>
      <c r="H50" s="1">
        <v>1.7739775959879807</v>
      </c>
      <c r="I50" s="1">
        <v>1.9994493385225609</v>
      </c>
      <c r="J50" s="1">
        <v>3.0380279190433317</v>
      </c>
      <c r="K50" s="1">
        <v>3.0103387977375555</v>
      </c>
      <c r="L50" s="1">
        <v>0.98176074094252153</v>
      </c>
      <c r="M50" s="1">
        <v>1.7946611491144315</v>
      </c>
      <c r="N50" s="1">
        <v>2.5919821962283209</v>
      </c>
      <c r="O50" s="1">
        <v>0.71000657882730089</v>
      </c>
      <c r="P50" s="1">
        <v>4.0224878416045708</v>
      </c>
      <c r="Q50" s="1">
        <v>3.5137378881613208</v>
      </c>
      <c r="R50" s="1">
        <v>2.9887213173575309</v>
      </c>
      <c r="S50" s="1">
        <v>3.3557030423451812</v>
      </c>
      <c r="T50" s="1">
        <v>1.9669997410799609</v>
      </c>
      <c r="U50" s="1">
        <v>0.99499925439339076</v>
      </c>
      <c r="V50" s="1">
        <v>3.1584022716764513</v>
      </c>
      <c r="W50" s="1">
        <v>1.0779750869352709</v>
      </c>
      <c r="X50" s="1">
        <v>1.0627154449392209</v>
      </c>
      <c r="Y50" s="1">
        <v>0.11231230742333087</v>
      </c>
      <c r="Z50" s="1">
        <v>1.3185911553762015</v>
      </c>
      <c r="AA50" s="1">
        <v>1.4450713456750286</v>
      </c>
      <c r="AB50" s="1">
        <v>2.9084904971624015</v>
      </c>
      <c r="AC50" s="1">
        <v>3.1577006183289518</v>
      </c>
      <c r="AD50" s="1">
        <v>2.5242711411623615</v>
      </c>
      <c r="AE50" s="1">
        <v>1.3814067819778715</v>
      </c>
      <c r="AF50" s="1">
        <v>1.3668732393819916</v>
      </c>
      <c r="AG50" s="1">
        <v>2.6845136802925214</v>
      </c>
      <c r="AH50" s="1">
        <v>2.6350880831127417</v>
      </c>
      <c r="AI50" s="1">
        <v>2.1723752515984014</v>
      </c>
      <c r="AJ50" s="1">
        <v>1.5598814863071115</v>
      </c>
      <c r="AK50" s="1">
        <v>0.93962750316071153</v>
      </c>
      <c r="AL50" s="2">
        <v>2.7114934105250392</v>
      </c>
      <c r="AM50" s="2">
        <v>2.8155760162660792</v>
      </c>
      <c r="AN50" s="2">
        <v>3.5721692706276293</v>
      </c>
      <c r="AO50" s="2">
        <v>2.8521381949413493</v>
      </c>
      <c r="AP50" s="2">
        <v>1.7044757384363733</v>
      </c>
      <c r="AQ50" s="2">
        <v>1.1780487954950203</v>
      </c>
      <c r="AR50" s="2">
        <v>1.4471358211687333</v>
      </c>
      <c r="AS50" s="2">
        <v>2.0836446053566391</v>
      </c>
      <c r="AT50" s="2">
        <v>2.2471118458769892</v>
      </c>
      <c r="AU50" s="2">
        <v>1.2866325942262813</v>
      </c>
      <c r="AV50" s="2">
        <v>3.6595305339270494</v>
      </c>
      <c r="AW50" s="2">
        <v>3.4524294332478793</v>
      </c>
      <c r="AX50" s="2">
        <v>2.0830218206215494</v>
      </c>
      <c r="AY50" s="2">
        <v>2.5898983294541993</v>
      </c>
      <c r="AZ50" s="2">
        <v>2.5463883164893493</v>
      </c>
      <c r="BA50" s="2">
        <v>2.5518967606856293</v>
      </c>
      <c r="BB50" s="2">
        <v>2.9339194020169792</v>
      </c>
      <c r="BC50" s="2">
        <v>3.5012737997433292</v>
      </c>
      <c r="BD50" s="2">
        <v>2.4951356103586155</v>
      </c>
      <c r="BE50" s="2">
        <v>1.3850869100216823</v>
      </c>
      <c r="BF50" s="2">
        <v>2.5855159134018555</v>
      </c>
      <c r="BG50" s="2">
        <v>3.3098228255479092</v>
      </c>
      <c r="BH50" s="2">
        <v>2.0767904979251091</v>
      </c>
      <c r="BI50" s="2">
        <v>1.3061915812307303</v>
      </c>
      <c r="BJ50" s="2">
        <v>2.0257821049981395</v>
      </c>
      <c r="BK50" s="2">
        <v>2.0418279299683793</v>
      </c>
      <c r="BL50" s="2">
        <v>3.3481085523703893</v>
      </c>
      <c r="BM50" s="2">
        <v>2.7111792537869492</v>
      </c>
      <c r="BN50" s="2">
        <v>1.3893329527638583</v>
      </c>
      <c r="BO50" s="2">
        <v>1.3081415101746183</v>
      </c>
      <c r="BP50" s="2">
        <v>3.0055036695989394</v>
      </c>
      <c r="BQ50" s="2">
        <v>3.3210168194237495</v>
      </c>
      <c r="BR50" s="2">
        <v>2.3565968613310093</v>
      </c>
      <c r="BS50" s="2">
        <v>2.9186231769929694</v>
      </c>
      <c r="BT50" s="2">
        <v>2.4114122416659391</v>
      </c>
      <c r="BU50" s="2">
        <v>1.7761350533763784</v>
      </c>
      <c r="BV50" s="2">
        <v>1.7843306353935313</v>
      </c>
      <c r="BW50" s="2">
        <v>2.2875246241323994</v>
      </c>
      <c r="BY50">
        <f t="shared" si="6"/>
        <v>2.1399439943502925</v>
      </c>
      <c r="BZ50">
        <f t="shared" si="7"/>
        <v>2.3963379845676123</v>
      </c>
      <c r="CA50">
        <f t="shared" si="8"/>
        <v>0.83717782870810264</v>
      </c>
      <c r="CB50">
        <f t="shared" si="9"/>
        <v>0.23011525938654465</v>
      </c>
      <c r="CC50">
        <f t="shared" si="10"/>
        <v>-0.25639399021731973</v>
      </c>
      <c r="CD50">
        <f t="shared" si="11"/>
        <v>0.6380545814719828</v>
      </c>
      <c r="CE50" t="s">
        <v>87</v>
      </c>
      <c r="CH50" t="s">
        <v>50</v>
      </c>
      <c r="CI50">
        <v>0.21616548295697796</v>
      </c>
      <c r="CJ50">
        <v>0.28030692634776688</v>
      </c>
    </row>
    <row r="51" spans="1:88" x14ac:dyDescent="0.2">
      <c r="A51" t="s">
        <v>88</v>
      </c>
      <c r="B51" s="1">
        <v>0.31128126371703835</v>
      </c>
      <c r="C51" s="1">
        <v>-0.29684336840413861</v>
      </c>
      <c r="D51" s="1">
        <v>2.7295585932146484</v>
      </c>
      <c r="E51" s="1">
        <v>2.5893220324837585</v>
      </c>
      <c r="F51" s="1">
        <v>2.8299468469730686</v>
      </c>
      <c r="G51" s="1">
        <v>1.5327745934427583</v>
      </c>
      <c r="H51" s="1">
        <v>0.56263570022718845</v>
      </c>
      <c r="I51" s="1">
        <v>9.9733874727625405E-2</v>
      </c>
      <c r="J51" s="1">
        <v>1.7775558009943111</v>
      </c>
      <c r="K51" s="1">
        <v>1.372853201245932</v>
      </c>
      <c r="L51" s="1">
        <v>2.8220826977584013</v>
      </c>
      <c r="M51" s="1">
        <v>1.4841454594708909</v>
      </c>
      <c r="N51" s="1">
        <v>2.6946278579805183</v>
      </c>
      <c r="O51" s="1">
        <v>0.86600157156676838</v>
      </c>
      <c r="P51" s="1">
        <v>1.4202761330946183</v>
      </c>
      <c r="Q51" s="1">
        <v>2.5702810194168784</v>
      </c>
      <c r="R51" s="1">
        <v>2.6697462439422286</v>
      </c>
      <c r="S51" s="1">
        <v>1.0694260364726085</v>
      </c>
      <c r="T51" s="1">
        <v>1.4150128006194684</v>
      </c>
      <c r="U51" s="1">
        <v>2.9090336985623466E-2</v>
      </c>
      <c r="V51" s="1">
        <v>1.0735345738267483</v>
      </c>
      <c r="W51" s="1">
        <v>8.1524513396840415E-2</v>
      </c>
      <c r="X51" s="1">
        <v>0.19285079121443838</v>
      </c>
      <c r="Y51" s="1">
        <v>0.33428105133720853</v>
      </c>
      <c r="Z51" s="1">
        <v>1.6862974069159711</v>
      </c>
      <c r="AA51" s="1">
        <v>0.60811808140189494</v>
      </c>
      <c r="AB51" s="1">
        <v>0.72913690858730096</v>
      </c>
      <c r="AC51" s="1">
        <v>1.3285649656580309</v>
      </c>
      <c r="AD51" s="1">
        <v>0.87248106923043101</v>
      </c>
      <c r="AE51" s="1">
        <v>-0.14622263430179705</v>
      </c>
      <c r="AF51" s="1">
        <v>-7.9292011930473028E-2</v>
      </c>
      <c r="AG51" s="1">
        <v>1.018765027494321</v>
      </c>
      <c r="AH51" s="1">
        <v>1.022986709898881</v>
      </c>
      <c r="AI51" s="1">
        <v>2.5012491613706613</v>
      </c>
      <c r="AJ51" s="1">
        <v>2.3725929573079005</v>
      </c>
      <c r="AK51" s="1">
        <v>1.370950360997661</v>
      </c>
      <c r="AL51" s="2">
        <v>1.0283833534563143</v>
      </c>
      <c r="AM51" s="2">
        <v>1.9505071458084333</v>
      </c>
      <c r="AN51" s="2">
        <v>1.7003295872525153</v>
      </c>
      <c r="AO51" s="2">
        <v>2.3641921269025343</v>
      </c>
      <c r="AP51" s="2">
        <v>1.0377741674853522</v>
      </c>
      <c r="AQ51" s="2">
        <v>-1.4649416337145782E-2</v>
      </c>
      <c r="AR51" s="2">
        <v>-0.46752538678350564</v>
      </c>
      <c r="AS51" s="2">
        <v>0.61864754144769829</v>
      </c>
      <c r="AT51" s="2">
        <v>1.0656720017748003</v>
      </c>
      <c r="AU51" s="2">
        <v>1.2178402676449751</v>
      </c>
      <c r="AV51" s="2">
        <v>3.3196087630551645</v>
      </c>
      <c r="AW51" s="2">
        <v>0.87217555722809736</v>
      </c>
      <c r="AX51" s="2">
        <v>1.3346382785328672</v>
      </c>
      <c r="AY51" s="2">
        <v>1.6664136535381593</v>
      </c>
      <c r="AZ51" s="2">
        <v>1.087135761194568</v>
      </c>
      <c r="BA51" s="2">
        <v>2.5242587436144044</v>
      </c>
      <c r="BB51" s="2">
        <v>2.1357829410024993</v>
      </c>
      <c r="BC51" s="2">
        <v>0.77618738363367235</v>
      </c>
      <c r="BD51" s="2">
        <v>1.176154703032501</v>
      </c>
      <c r="BE51" s="2">
        <v>0.71240140953166831</v>
      </c>
      <c r="BF51" s="2">
        <v>0.85416072462304193</v>
      </c>
      <c r="BG51" s="2">
        <v>0.94965358536220634</v>
      </c>
      <c r="BH51" s="2">
        <v>0.79572790938034732</v>
      </c>
      <c r="BI51" s="2">
        <v>0.23384926595537725</v>
      </c>
      <c r="BJ51" s="2">
        <v>2.1535618127152611</v>
      </c>
      <c r="BK51" s="2">
        <v>2.3741349666853844</v>
      </c>
      <c r="BL51" s="2">
        <v>1.4112233538724084</v>
      </c>
      <c r="BM51" s="2">
        <v>1.0814460013879128</v>
      </c>
      <c r="BN51" s="2">
        <v>1.0262729343907262</v>
      </c>
      <c r="BO51" s="2">
        <v>1.225029287033587</v>
      </c>
      <c r="BP51" s="2">
        <v>0.3773381193795543</v>
      </c>
      <c r="BQ51" s="2">
        <v>0.13129022776361432</v>
      </c>
      <c r="BR51" s="2">
        <v>0.42011433904481632</v>
      </c>
      <c r="BS51" s="2">
        <v>1.1021555244915664</v>
      </c>
      <c r="BT51" s="2">
        <v>1.1645012433771011</v>
      </c>
      <c r="BU51" s="2">
        <v>0.68105871581713229</v>
      </c>
      <c r="BV51" s="2">
        <v>0.99443592264658132</v>
      </c>
      <c r="BW51" s="2">
        <v>1.9208118615012824</v>
      </c>
      <c r="BY51">
        <f t="shared" si="6"/>
        <v>1.2643702118982281</v>
      </c>
      <c r="BZ51">
        <f t="shared" si="7"/>
        <v>1.18428143101167</v>
      </c>
      <c r="CA51">
        <f t="shared" si="8"/>
        <v>1.0570830895728582</v>
      </c>
      <c r="CB51">
        <f t="shared" si="9"/>
        <v>0.69591885176795132</v>
      </c>
      <c r="CC51">
        <f t="shared" si="10"/>
        <v>8.0088780886558159E-2</v>
      </c>
      <c r="CD51">
        <f t="shared" si="11"/>
        <v>0.15744139872857685</v>
      </c>
      <c r="CE51" t="s">
        <v>88</v>
      </c>
      <c r="CH51" t="s">
        <v>49</v>
      </c>
      <c r="CI51">
        <v>0.16204717171032693</v>
      </c>
      <c r="CJ51">
        <v>0.26062010237510486</v>
      </c>
    </row>
    <row r="52" spans="1:88" x14ac:dyDescent="0.2">
      <c r="A52" t="s">
        <v>89</v>
      </c>
      <c r="B52" s="1">
        <v>1.8910447112491813</v>
      </c>
      <c r="C52" s="1">
        <v>0.57848344872189028</v>
      </c>
      <c r="D52" s="1">
        <v>2.0255162008932612</v>
      </c>
      <c r="E52" s="1">
        <v>1.8581185616200515</v>
      </c>
      <c r="F52" s="1">
        <v>2.7468644238872613</v>
      </c>
      <c r="G52" s="1">
        <v>3.0097964422040913</v>
      </c>
      <c r="H52" s="1">
        <v>1.1859619120081113</v>
      </c>
      <c r="I52" s="1">
        <v>1.8837164886291013</v>
      </c>
      <c r="J52" s="1">
        <v>1.8302629866811979</v>
      </c>
      <c r="K52" s="1">
        <v>1.9787312154438983</v>
      </c>
      <c r="L52" s="1">
        <v>2.946887580582628</v>
      </c>
      <c r="M52" s="1">
        <v>3.0587264915241881</v>
      </c>
      <c r="N52" s="1">
        <v>1.8308110420556511</v>
      </c>
      <c r="O52" s="1">
        <v>1.5861300061128414</v>
      </c>
      <c r="P52" s="1">
        <v>1.0494585370966012</v>
      </c>
      <c r="Q52" s="1">
        <v>1.9842069283926711</v>
      </c>
      <c r="R52" s="1">
        <v>2.4533820057049311</v>
      </c>
      <c r="S52" s="1">
        <v>1.7097750213566711</v>
      </c>
      <c r="T52" s="1">
        <v>1.8106174716959811</v>
      </c>
      <c r="U52" s="1">
        <v>1.8593271923640611</v>
      </c>
      <c r="V52" s="1">
        <v>2.4946207206674114</v>
      </c>
      <c r="W52" s="1">
        <v>9.8708150067056299E-2</v>
      </c>
      <c r="X52" s="1">
        <v>0.75689406449267138</v>
      </c>
      <c r="Y52" s="1">
        <v>1.7061745886452813</v>
      </c>
      <c r="Z52" s="1">
        <v>1.840267430059118</v>
      </c>
      <c r="AA52" s="1">
        <v>0.72452889637758333</v>
      </c>
      <c r="AB52" s="1">
        <v>1.3883014472263979</v>
      </c>
      <c r="AC52" s="1">
        <v>1.9313642305444279</v>
      </c>
      <c r="AD52" s="1">
        <v>0.81260551110395807</v>
      </c>
      <c r="AE52" s="1">
        <v>1.722859119426118</v>
      </c>
      <c r="AF52" s="1">
        <v>1.4237931816828779</v>
      </c>
      <c r="AG52" s="1">
        <v>2.4410134673650479</v>
      </c>
      <c r="AH52" s="1">
        <v>2.4382985844639582</v>
      </c>
      <c r="AI52" s="1">
        <v>2.0042435814226378</v>
      </c>
      <c r="AJ52" s="1">
        <v>2.1348462330997782</v>
      </c>
      <c r="AK52" s="1">
        <v>4.3999403134312285</v>
      </c>
      <c r="AL52" s="2">
        <v>2.0909330457743214</v>
      </c>
      <c r="AM52" s="2">
        <v>3.6516154588366412</v>
      </c>
      <c r="AN52" s="2">
        <v>1.7264239371452073</v>
      </c>
      <c r="AO52" s="2">
        <v>2.6800819000018414</v>
      </c>
      <c r="AP52" s="2">
        <v>1.4212776088572643</v>
      </c>
      <c r="AQ52" s="2">
        <v>1.9248787890366832</v>
      </c>
      <c r="AR52" s="2">
        <v>1.0168921539996438</v>
      </c>
      <c r="AS52" s="2">
        <v>0.67937798103975333</v>
      </c>
      <c r="AT52" s="2">
        <v>2.2865495397152413</v>
      </c>
      <c r="AU52" s="2">
        <v>1.6695543362037544</v>
      </c>
      <c r="AV52" s="2">
        <v>3.3693573653623012</v>
      </c>
      <c r="AW52" s="2">
        <v>1.7812816561427414</v>
      </c>
      <c r="AX52" s="2">
        <v>1.6767819067340501</v>
      </c>
      <c r="AY52" s="2">
        <v>2.6498721980991813</v>
      </c>
      <c r="AZ52" s="2">
        <v>1.5296835051917692</v>
      </c>
      <c r="BA52" s="2">
        <v>2.2647778623289314</v>
      </c>
      <c r="BB52" s="2">
        <v>1.2611118108797224</v>
      </c>
      <c r="BC52" s="2">
        <v>0.56706455476976636</v>
      </c>
      <c r="BD52" s="2">
        <v>2.7738825411795185</v>
      </c>
      <c r="BE52" s="2">
        <v>1.0638256969074571</v>
      </c>
      <c r="BF52" s="2">
        <v>2.7449140193215382</v>
      </c>
      <c r="BG52" s="2">
        <v>1.7760829780236873</v>
      </c>
      <c r="BH52" s="2">
        <v>1.7903906288565323</v>
      </c>
      <c r="BI52" s="2">
        <v>1.6324437426828433</v>
      </c>
      <c r="BJ52" s="2">
        <v>1.023787151860311</v>
      </c>
      <c r="BK52" s="2">
        <v>1.6505527628249972</v>
      </c>
      <c r="BL52" s="2">
        <v>0.82870876602532728</v>
      </c>
      <c r="BM52" s="2">
        <v>0.37425536544291726</v>
      </c>
      <c r="BN52" s="2">
        <v>1.2362999477370062</v>
      </c>
      <c r="BO52" s="2">
        <v>1.3390113482174504</v>
      </c>
      <c r="BP52" s="2">
        <v>1.0472911559236531</v>
      </c>
      <c r="BQ52" s="2">
        <v>0.54642845481523228</v>
      </c>
      <c r="BR52" s="2">
        <v>0.59816959948752135</v>
      </c>
      <c r="BS52" s="2">
        <v>1.1009265995673307</v>
      </c>
      <c r="BT52" s="2">
        <v>2.8042516394327612</v>
      </c>
      <c r="BU52" s="2">
        <v>2.5600361045388516</v>
      </c>
      <c r="BV52" s="2">
        <v>2.0602853467061415</v>
      </c>
      <c r="BW52" s="2">
        <v>1.7492542362575203</v>
      </c>
      <c r="BY52">
        <f t="shared" si="6"/>
        <v>1.8776743941194391</v>
      </c>
      <c r="BZ52">
        <f t="shared" si="7"/>
        <v>1.709166149892827</v>
      </c>
      <c r="CA52">
        <f t="shared" si="8"/>
        <v>1.1238957683499231</v>
      </c>
      <c r="CB52">
        <f t="shared" si="9"/>
        <v>0.3709031643611721</v>
      </c>
      <c r="CC52">
        <f t="shared" si="10"/>
        <v>0.16850824422661215</v>
      </c>
      <c r="CD52">
        <f t="shared" si="11"/>
        <v>0.43073946147124559</v>
      </c>
      <c r="CE52" t="s">
        <v>89</v>
      </c>
      <c r="CH52" t="s">
        <v>77</v>
      </c>
      <c r="CI52">
        <v>-8.4341835084581263E-2</v>
      </c>
      <c r="CJ52">
        <v>0.25543068571490934</v>
      </c>
    </row>
    <row r="53" spans="1:88" x14ac:dyDescent="0.2">
      <c r="A53" t="s">
        <v>90</v>
      </c>
      <c r="B53" s="1">
        <v>0.31012422095888981</v>
      </c>
      <c r="C53" s="1">
        <v>0.76458567780103581</v>
      </c>
      <c r="D53" s="1">
        <v>-0.25631370454456626</v>
      </c>
      <c r="E53" s="1">
        <v>-2.6351880632216232E-2</v>
      </c>
      <c r="F53" s="1">
        <v>0.70407467882528474</v>
      </c>
      <c r="G53" s="1">
        <v>0.17418201645644449</v>
      </c>
      <c r="H53" s="1">
        <v>-0.14418121617631924</v>
      </c>
      <c r="I53" s="1">
        <v>0.42226376779482977</v>
      </c>
      <c r="J53" s="1">
        <v>1.992596620613363</v>
      </c>
      <c r="K53" s="1">
        <v>1.2604411815768743</v>
      </c>
      <c r="L53" s="1">
        <v>0.37699386298152793</v>
      </c>
      <c r="M53" s="1">
        <v>1.4971044189125029</v>
      </c>
      <c r="N53" s="1">
        <v>1.0359904290482798</v>
      </c>
      <c r="O53" s="1">
        <v>1.2310080883395047</v>
      </c>
      <c r="P53" s="1">
        <v>-0.48584144457401524</v>
      </c>
      <c r="Q53" s="1">
        <v>-0.64794445439335224</v>
      </c>
      <c r="R53" s="1">
        <v>-0.74961307178519421</v>
      </c>
      <c r="S53" s="1">
        <v>1.9669207301681249</v>
      </c>
      <c r="T53" s="1">
        <v>1.3992255579851747</v>
      </c>
      <c r="U53" s="1">
        <v>1.0985606685777847</v>
      </c>
      <c r="V53" s="1">
        <v>1.9940770371691547</v>
      </c>
      <c r="W53" s="1">
        <v>-6.7148073392040236E-2</v>
      </c>
      <c r="X53" s="1">
        <v>0.69010622209861971</v>
      </c>
      <c r="Y53" s="1">
        <v>0.34532089094786078</v>
      </c>
      <c r="Z53" s="1">
        <v>0.99485320561226298</v>
      </c>
      <c r="AA53" s="1">
        <v>-2.4462595624829664E-2</v>
      </c>
      <c r="AB53" s="1">
        <v>0.87924633104318284</v>
      </c>
      <c r="AC53" s="1">
        <v>1.6466870332147729</v>
      </c>
      <c r="AD53" s="1">
        <v>0.78666949844833289</v>
      </c>
      <c r="AE53" s="1">
        <v>-0.23324446813439509</v>
      </c>
      <c r="AF53" s="1">
        <v>0.37426061009483491</v>
      </c>
      <c r="AG53" s="1">
        <v>0.66016266796406287</v>
      </c>
      <c r="AH53" s="1">
        <v>0.69688327101280301</v>
      </c>
      <c r="AI53" s="1">
        <v>0.844688328986543</v>
      </c>
      <c r="AJ53" s="1">
        <v>-0.61436414072440104</v>
      </c>
      <c r="AK53" s="1">
        <v>0.92134636485699284</v>
      </c>
      <c r="AL53" s="2">
        <v>-5.9670139049610049E-2</v>
      </c>
      <c r="AM53" s="2">
        <v>0.54594218296927499</v>
      </c>
      <c r="AN53" s="2">
        <v>0.45687568713096527</v>
      </c>
      <c r="AO53" s="2">
        <v>0.44536742704214638</v>
      </c>
      <c r="AP53" s="2">
        <v>1.450710108983539</v>
      </c>
      <c r="AQ53" s="2">
        <v>1.1067774724443009</v>
      </c>
      <c r="AR53" s="2">
        <v>-0.13179785648769704</v>
      </c>
      <c r="AS53" s="2">
        <v>-0.11171233644292999</v>
      </c>
      <c r="AT53" s="2">
        <v>0.39152998275465795</v>
      </c>
      <c r="AU53" s="2">
        <v>0.7007310378883409</v>
      </c>
      <c r="AV53" s="2">
        <v>0.65666116071205494</v>
      </c>
      <c r="AW53" s="2">
        <v>2.0234025304829983E-2</v>
      </c>
      <c r="AX53" s="2">
        <v>-2.7705545454965064E-2</v>
      </c>
      <c r="AY53" s="2">
        <v>0.32557068136507145</v>
      </c>
      <c r="AZ53" s="2">
        <v>3.6139803568166984E-2</v>
      </c>
      <c r="BA53" s="2">
        <v>1.0987991423059751</v>
      </c>
      <c r="BB53" s="2">
        <v>0.48883095338392024</v>
      </c>
      <c r="BC53" s="2">
        <v>0.24013225917706596</v>
      </c>
      <c r="BD53" s="2">
        <v>0.82614343687459435</v>
      </c>
      <c r="BE53" s="2">
        <v>1.3049369750211139</v>
      </c>
      <c r="BF53" s="2">
        <v>0.86483883743068435</v>
      </c>
      <c r="BG53" s="2">
        <v>0.57145408375578599</v>
      </c>
      <c r="BH53" s="2">
        <v>0.47630070448219458</v>
      </c>
      <c r="BI53" s="2">
        <v>-5.9789568718549013E-2</v>
      </c>
      <c r="BJ53" s="2">
        <v>0.79471674725696695</v>
      </c>
      <c r="BK53" s="2">
        <v>0.76190827377241499</v>
      </c>
      <c r="BL53" s="2">
        <v>0.27782629481599097</v>
      </c>
      <c r="BM53" s="2">
        <v>-0.23201113048744404</v>
      </c>
      <c r="BN53" s="2">
        <v>1.2444186007117559</v>
      </c>
      <c r="BO53" s="2">
        <v>0.46772200266564545</v>
      </c>
      <c r="BP53" s="2">
        <v>0.50739414679679551</v>
      </c>
      <c r="BQ53" s="2">
        <v>0.24255229134427098</v>
      </c>
      <c r="BR53" s="2">
        <v>-0.26229568414081206</v>
      </c>
      <c r="BS53" s="2">
        <v>0.20009481314701696</v>
      </c>
      <c r="BT53" s="2">
        <v>1.1791776864519758</v>
      </c>
      <c r="BU53" s="2">
        <v>1.1574860389632691</v>
      </c>
      <c r="BV53" s="2">
        <v>1.609428022891539</v>
      </c>
      <c r="BW53" s="2">
        <v>1.143957901277346</v>
      </c>
      <c r="BY53">
        <f t="shared" si="6"/>
        <v>0.6060807869863255</v>
      </c>
      <c r="BZ53">
        <f t="shared" si="7"/>
        <v>0.5449914874186228</v>
      </c>
      <c r="CA53">
        <f t="shared" si="8"/>
        <v>1.0432531665483658</v>
      </c>
      <c r="CB53">
        <f t="shared" si="9"/>
        <v>0.68399907555411477</v>
      </c>
      <c r="CC53">
        <f t="shared" si="10"/>
        <v>6.10892995677026E-2</v>
      </c>
      <c r="CD53">
        <f t="shared" si="11"/>
        <v>0.1649444852418985</v>
      </c>
      <c r="CE53" t="s">
        <v>90</v>
      </c>
      <c r="CH53" t="s">
        <v>97</v>
      </c>
      <c r="CI53">
        <v>-0.19540435216840427</v>
      </c>
      <c r="CJ53">
        <v>0.23958608346155449</v>
      </c>
    </row>
    <row r="54" spans="1:88" x14ac:dyDescent="0.2">
      <c r="A54" t="s">
        <v>91</v>
      </c>
      <c r="B54" s="1">
        <v>-1.3420239744945697</v>
      </c>
      <c r="C54" s="1">
        <v>-0.25657545853520175</v>
      </c>
      <c r="D54" s="1">
        <v>0.22045450696699526</v>
      </c>
      <c r="E54" s="1">
        <v>-9.9517610391048061E-2</v>
      </c>
      <c r="F54" s="1">
        <v>-1.1071195562227096</v>
      </c>
      <c r="G54" s="1">
        <v>-0.75662817130216375</v>
      </c>
      <c r="H54" s="1">
        <v>-0.86432008645229275</v>
      </c>
      <c r="I54" s="1">
        <v>-0.86998378725097469</v>
      </c>
      <c r="J54" s="1">
        <v>0.93549215005985364</v>
      </c>
      <c r="K54" s="1">
        <v>-1.116051466957237</v>
      </c>
      <c r="L54" s="1">
        <v>-0.83294224558343333</v>
      </c>
      <c r="M54" s="1">
        <v>0.46979171355271276</v>
      </c>
      <c r="N54" s="1">
        <v>-1.4584063821362951E-2</v>
      </c>
      <c r="O54" s="1">
        <v>0.22696672232573828</v>
      </c>
      <c r="P54" s="1">
        <v>0.90479332987222827</v>
      </c>
      <c r="Q54" s="1">
        <v>-1.6432103965337697</v>
      </c>
      <c r="R54" s="1">
        <v>-1.5015043777237898</v>
      </c>
      <c r="S54" s="1">
        <v>1.0032080978782403</v>
      </c>
      <c r="T54" s="1">
        <v>3.6780545806378045E-2</v>
      </c>
      <c r="U54" s="1">
        <v>-1.1998937705995096</v>
      </c>
      <c r="V54" s="1">
        <v>-0.98720542172613779</v>
      </c>
      <c r="W54" s="1">
        <v>-0.26501364392377275</v>
      </c>
      <c r="X54" s="1">
        <v>0.75810413819416222</v>
      </c>
      <c r="Y54" s="1">
        <v>0.19220953258653922</v>
      </c>
      <c r="Z54" s="1">
        <v>-0.28556274366842327</v>
      </c>
      <c r="AA54" s="1">
        <v>-0.17892732429779612</v>
      </c>
      <c r="AB54" s="1">
        <v>0.25965808855459172</v>
      </c>
      <c r="AC54" s="1">
        <v>0.33988559794041373</v>
      </c>
      <c r="AD54" s="1">
        <v>0.14549955808351372</v>
      </c>
      <c r="AE54" s="1">
        <v>-1.3876588686011533</v>
      </c>
      <c r="AF54" s="1">
        <v>-1.3601202342155931</v>
      </c>
      <c r="AG54" s="1">
        <v>-0.60951305200849626</v>
      </c>
      <c r="AH54" s="1">
        <v>-0.51679534448321929</v>
      </c>
      <c r="AI54" s="1">
        <v>-1.0685876510380732</v>
      </c>
      <c r="AJ54" s="1">
        <v>2.7365748325588766</v>
      </c>
      <c r="AK54" s="1">
        <v>1.9407776916890369</v>
      </c>
      <c r="AL54" s="2">
        <v>-0.16243258595711707</v>
      </c>
      <c r="AM54" s="2">
        <v>-8.3258011796969067E-2</v>
      </c>
      <c r="AN54" s="2">
        <v>-4.9223552284690664E-3</v>
      </c>
      <c r="AO54" s="2">
        <v>-0.16822997270096907</v>
      </c>
      <c r="AP54" s="2">
        <v>7.8421768072916953E-2</v>
      </c>
      <c r="AQ54" s="2">
        <v>0.85098600781644496</v>
      </c>
      <c r="AR54" s="2">
        <v>0.64671612379379595</v>
      </c>
      <c r="AS54" s="2">
        <v>-0.26506377467099707</v>
      </c>
      <c r="AT54" s="2">
        <v>-9.6620289560664041E-2</v>
      </c>
      <c r="AU54" s="2">
        <v>-0.12559471235085107</v>
      </c>
      <c r="AV54" s="2">
        <v>-0.75928488366468116</v>
      </c>
      <c r="AW54" s="2">
        <v>-1.2488230352118013</v>
      </c>
      <c r="AX54" s="2">
        <v>-0.38642603609632509</v>
      </c>
      <c r="AY54" s="2">
        <v>0.17780905169221195</v>
      </c>
      <c r="AZ54" s="2">
        <v>-0.3167573021244281</v>
      </c>
      <c r="BA54" s="2">
        <v>7.96382665770895E-3</v>
      </c>
      <c r="BB54" s="2">
        <v>-1.3647844518761709</v>
      </c>
      <c r="BC54" s="2">
        <v>-1.1667177994000211</v>
      </c>
      <c r="BD54" s="2">
        <v>-0.15393731658051812</v>
      </c>
      <c r="BE54" s="2">
        <v>0.58846403155843896</v>
      </c>
      <c r="BF54" s="2">
        <v>-0.6031227012036231</v>
      </c>
      <c r="BG54" s="2">
        <v>-0.82238448190775115</v>
      </c>
      <c r="BH54" s="2">
        <v>0.16015562605022493</v>
      </c>
      <c r="BI54" s="2">
        <v>-1.682649179175121</v>
      </c>
      <c r="BJ54" s="2">
        <v>0.15919243137619993</v>
      </c>
      <c r="BK54" s="2">
        <v>-0.97803109180164116</v>
      </c>
      <c r="BL54" s="2">
        <v>-1.0862856991594509</v>
      </c>
      <c r="BM54" s="2">
        <v>-0.48013248612853709</v>
      </c>
      <c r="BN54" s="2">
        <v>-0.49164175795793008</v>
      </c>
      <c r="BO54" s="2">
        <v>8.8852149254859958E-2</v>
      </c>
      <c r="BP54" s="2">
        <v>-0.13750717059339707</v>
      </c>
      <c r="BQ54" s="2">
        <v>-0.19228443855235805</v>
      </c>
      <c r="BR54" s="2">
        <v>-1.4022816720203313</v>
      </c>
      <c r="BS54" s="2">
        <v>-1.2418012155025009</v>
      </c>
      <c r="BT54" s="2">
        <v>1.3286603690670891</v>
      </c>
      <c r="BU54" s="2">
        <v>0.87958867564924692</v>
      </c>
      <c r="BV54" s="2">
        <v>1.0618794936982319</v>
      </c>
      <c r="BW54" s="2">
        <v>0.50973173138203398</v>
      </c>
      <c r="BY54">
        <f t="shared" si="6"/>
        <v>-0.22482063177115133</v>
      </c>
      <c r="BZ54">
        <f t="shared" si="7"/>
        <v>-0.23375139829350583</v>
      </c>
      <c r="CA54">
        <f t="shared" si="8"/>
        <v>1.006209535359982</v>
      </c>
      <c r="CB54">
        <f t="shared" si="9"/>
        <v>0.96465138726059274</v>
      </c>
      <c r="CC54">
        <f t="shared" si="10"/>
        <v>8.9307665223545725E-3</v>
      </c>
      <c r="CD54">
        <f t="shared" si="11"/>
        <v>1.5629606804263646E-2</v>
      </c>
      <c r="CE54" t="s">
        <v>91</v>
      </c>
      <c r="CH54" t="s">
        <v>107</v>
      </c>
      <c r="CI54">
        <v>0.19995448492013146</v>
      </c>
      <c r="CJ54">
        <v>0.23861058881386926</v>
      </c>
    </row>
    <row r="55" spans="1:88" x14ac:dyDescent="0.2">
      <c r="A55" t="s">
        <v>92</v>
      </c>
      <c r="B55" s="1">
        <v>0.34374133739947821</v>
      </c>
      <c r="C55" s="1">
        <v>-0.49102060043086382</v>
      </c>
      <c r="D55" s="1">
        <v>-0.30095999585081079</v>
      </c>
      <c r="E55" s="1">
        <v>1.694644879703076</v>
      </c>
      <c r="F55" s="1">
        <v>1.4764964890958661</v>
      </c>
      <c r="G55" s="1">
        <v>0.8822106854196361</v>
      </c>
      <c r="H55" s="1">
        <v>4.3233747371253184E-2</v>
      </c>
      <c r="I55" s="1">
        <v>-0.88450055810214478</v>
      </c>
      <c r="J55" s="1">
        <v>0.52082725077150549</v>
      </c>
      <c r="K55" s="1">
        <v>0.13621958048133709</v>
      </c>
      <c r="L55" s="1">
        <v>0.79562357416244844</v>
      </c>
      <c r="M55" s="1">
        <v>0.4312879195414725</v>
      </c>
      <c r="N55" s="1">
        <v>0.32578454251107114</v>
      </c>
      <c r="O55" s="1">
        <v>-0.1486066532084408</v>
      </c>
      <c r="P55" s="1">
        <v>-1.3563027318293999</v>
      </c>
      <c r="Q55" s="1">
        <v>-0.60694725554325346</v>
      </c>
      <c r="R55" s="1">
        <v>0.11619790544184017</v>
      </c>
      <c r="S55" s="1">
        <v>0.65006490971140618</v>
      </c>
      <c r="T55" s="1">
        <v>1.8408471761827063</v>
      </c>
      <c r="U55" s="1">
        <v>-0.24969962688304181</v>
      </c>
      <c r="V55" s="1">
        <v>0.81553211110471624</v>
      </c>
      <c r="W55" s="1">
        <v>-0.54269980440280008</v>
      </c>
      <c r="X55" s="1">
        <v>-7.8598865467226831E-2</v>
      </c>
      <c r="Y55" s="1">
        <v>-0.30484063573829784</v>
      </c>
      <c r="Z55" s="1">
        <v>-4.0689980778805535E-2</v>
      </c>
      <c r="AA55" s="1">
        <v>-0.86330479634456792</v>
      </c>
      <c r="AB55" s="1">
        <v>5.4756907051604631E-3</v>
      </c>
      <c r="AC55" s="1">
        <v>-5.128278238612255E-2</v>
      </c>
      <c r="AD55" s="1">
        <v>5.302252488305248E-2</v>
      </c>
      <c r="AE55" s="1">
        <v>-0.35690220374167403</v>
      </c>
      <c r="AF55" s="1">
        <v>-0.32681319698025946</v>
      </c>
      <c r="AG55" s="1">
        <v>0.42278207616354246</v>
      </c>
      <c r="AH55" s="1">
        <v>0.72378989680059846</v>
      </c>
      <c r="AI55" s="1">
        <v>0.93492320102502857</v>
      </c>
      <c r="AJ55" s="1">
        <v>0.96595360973252853</v>
      </c>
      <c r="AK55" s="1">
        <v>0.72588753778508841</v>
      </c>
      <c r="AL55" s="2">
        <v>-0.59309941352000228</v>
      </c>
      <c r="AM55" s="2">
        <v>-4.1179884673152367E-2</v>
      </c>
      <c r="AN55" s="2">
        <v>-0.45029499268667239</v>
      </c>
      <c r="AO55" s="2">
        <v>8.0393074960436683E-2</v>
      </c>
      <c r="AP55" s="2">
        <v>-0.46549829256884223</v>
      </c>
      <c r="AQ55" s="2">
        <v>-0.82470968801857225</v>
      </c>
      <c r="AR55" s="2">
        <v>-1.5965088533511023</v>
      </c>
      <c r="AS55" s="2">
        <v>-1.0889564591302121</v>
      </c>
      <c r="AT55" s="2">
        <v>-0.22015442455355227</v>
      </c>
      <c r="AU55" s="2">
        <v>0.37952991159556471</v>
      </c>
      <c r="AV55" s="2">
        <v>0.15477181063560475</v>
      </c>
      <c r="AW55" s="2">
        <v>-1.2291487550533722</v>
      </c>
      <c r="AX55" s="2">
        <v>-0.21721082633278233</v>
      </c>
      <c r="AY55" s="2">
        <v>-0.29228813209359239</v>
      </c>
      <c r="AZ55" s="2">
        <v>-0.5263812534781922</v>
      </c>
      <c r="BA55" s="2">
        <v>3.5395871915220756E-2</v>
      </c>
      <c r="BB55" s="2">
        <v>-0.33815832150543224</v>
      </c>
      <c r="BC55" s="2">
        <v>-0.91783214311685235</v>
      </c>
      <c r="BD55" s="2">
        <v>0.38249601008452505</v>
      </c>
      <c r="BE55" s="2">
        <v>-0.62895065513306236</v>
      </c>
      <c r="BF55" s="2">
        <v>-0.12902659197986763</v>
      </c>
      <c r="BG55" s="2">
        <v>-0.80055938463435239</v>
      </c>
      <c r="BH55" s="2">
        <v>-0.41155712064003236</v>
      </c>
      <c r="BI55" s="2">
        <v>-1.0837018749323724</v>
      </c>
      <c r="BJ55" s="2">
        <v>-0.16397847994926229</v>
      </c>
      <c r="BK55" s="2">
        <v>-0.15413427970426219</v>
      </c>
      <c r="BL55" s="2">
        <v>0.53810239088110379</v>
      </c>
      <c r="BM55" s="2">
        <v>-0.95769160992798219</v>
      </c>
      <c r="BN55" s="2">
        <v>-0.15448803990165239</v>
      </c>
      <c r="BO55" s="2">
        <v>-0.1317773634757422</v>
      </c>
      <c r="BP55" s="2">
        <v>-0.73172049543289219</v>
      </c>
      <c r="BQ55" s="2">
        <v>-1.2528137852918722</v>
      </c>
      <c r="BR55" s="2">
        <v>-1.1985069871174323</v>
      </c>
      <c r="BS55" s="2">
        <v>4.5049140169354684E-2</v>
      </c>
      <c r="BT55" s="2">
        <v>0.4870436835102257</v>
      </c>
      <c r="BU55" s="2">
        <v>0.42044910302578875</v>
      </c>
      <c r="BV55" s="2">
        <v>-0.1038348345501523</v>
      </c>
      <c r="BW55" s="2">
        <v>-4.003018520996271E-3</v>
      </c>
      <c r="BY55">
        <f t="shared" si="6"/>
        <v>0.2028160266195862</v>
      </c>
      <c r="BZ55">
        <f t="shared" si="7"/>
        <v>-0.37328776222359056</v>
      </c>
      <c r="CA55">
        <f t="shared" si="8"/>
        <v>1.4908176337690875</v>
      </c>
      <c r="CB55">
        <f t="shared" si="9"/>
        <v>2.4087165830834144E-4</v>
      </c>
      <c r="CC55">
        <f t="shared" si="10"/>
        <v>0.57610378884317681</v>
      </c>
      <c r="CD55">
        <f t="shared" si="11"/>
        <v>3.6182142974047395</v>
      </c>
      <c r="CE55" t="s">
        <v>92</v>
      </c>
      <c r="CH55" t="s">
        <v>76</v>
      </c>
      <c r="CI55">
        <v>-0.27541757327906818</v>
      </c>
      <c r="CJ55">
        <v>0.2373066920667434</v>
      </c>
    </row>
    <row r="56" spans="1:88" x14ac:dyDescent="0.2">
      <c r="A56" t="s">
        <v>93</v>
      </c>
      <c r="B56" s="1">
        <v>3.0036839084451836</v>
      </c>
      <c r="C56" s="1">
        <v>-0.43280772904777559</v>
      </c>
      <c r="D56" s="1">
        <v>-0.92504336282393251</v>
      </c>
      <c r="E56" s="1">
        <v>-0.81657885684307463</v>
      </c>
      <c r="F56" s="1">
        <v>1.4469880827004435</v>
      </c>
      <c r="G56" s="1">
        <v>2.6507392235961036</v>
      </c>
      <c r="H56" s="1">
        <v>-0.34478725144579858</v>
      </c>
      <c r="I56" s="1">
        <v>1.8945268158054933</v>
      </c>
      <c r="J56" s="1">
        <v>-1.006714830333753</v>
      </c>
      <c r="K56" s="1">
        <v>-0.17823849524054344</v>
      </c>
      <c r="L56" s="1">
        <v>0.37140266164230301</v>
      </c>
      <c r="M56" s="1">
        <v>0.76118946122054121</v>
      </c>
      <c r="N56" s="1">
        <v>6.3081138060247399E-2</v>
      </c>
      <c r="O56" s="1">
        <v>0.26601470340332145</v>
      </c>
      <c r="P56" s="1">
        <v>-2.9437873085512365</v>
      </c>
      <c r="Q56" s="1">
        <v>-1.8653537334060566</v>
      </c>
      <c r="R56" s="1">
        <v>-1.2072155128577176</v>
      </c>
      <c r="S56" s="1">
        <v>-1.4254291497007185</v>
      </c>
      <c r="T56" s="1">
        <v>1.5481088684194035</v>
      </c>
      <c r="U56" s="1">
        <v>-0.91781864500188659</v>
      </c>
      <c r="V56" s="1">
        <v>1.2695008682403235</v>
      </c>
      <c r="W56" s="1">
        <v>1.3753380814057836</v>
      </c>
      <c r="X56" s="1">
        <v>-1.3768747656031697</v>
      </c>
      <c r="Y56" s="1">
        <v>-1.0997527348586786</v>
      </c>
      <c r="Z56" s="1">
        <v>1.7857936860490087E-2</v>
      </c>
      <c r="AA56" s="1">
        <v>-0.9572822886479545</v>
      </c>
      <c r="AB56" s="1">
        <v>-0.15533047327307084</v>
      </c>
      <c r="AC56" s="1">
        <v>-5.0544942220275946E-2</v>
      </c>
      <c r="AD56" s="1">
        <v>-0.24021747506896993</v>
      </c>
      <c r="AE56" s="1">
        <v>-0.18730136057392294</v>
      </c>
      <c r="AF56" s="1">
        <v>-0.25207987962844636</v>
      </c>
      <c r="AG56" s="1">
        <v>-0.31600393163192042</v>
      </c>
      <c r="AH56" s="1">
        <v>-0.25850416474053522</v>
      </c>
      <c r="AI56" s="1">
        <v>-4.0290568097358925E-2</v>
      </c>
      <c r="AJ56" s="1">
        <v>-0.24498566443432787</v>
      </c>
      <c r="AK56" s="1">
        <v>1.0444840273056111</v>
      </c>
      <c r="AL56" s="2">
        <v>-1.0751855474014187</v>
      </c>
      <c r="AM56" s="2">
        <v>-0.17158442401023855</v>
      </c>
      <c r="AN56" s="2">
        <v>-0.62683863632790848</v>
      </c>
      <c r="AO56" s="2">
        <v>-0.57561641343275849</v>
      </c>
      <c r="AP56" s="2">
        <v>-0.15499827134767863</v>
      </c>
      <c r="AQ56" s="2">
        <v>5.5426575323764826E-3</v>
      </c>
      <c r="AR56" s="2">
        <v>-0.85516564028233855</v>
      </c>
      <c r="AS56" s="2">
        <v>-0.54386950673997847</v>
      </c>
      <c r="AT56" s="2">
        <v>-0.49701192087955859</v>
      </c>
      <c r="AU56" s="2">
        <v>-0.37312607934357855</v>
      </c>
      <c r="AV56" s="2">
        <v>-0.30095533582824852</v>
      </c>
      <c r="AW56" s="2">
        <v>-0.94215458011809849</v>
      </c>
      <c r="AX56" s="2">
        <v>-0.72238721553568863</v>
      </c>
      <c r="AY56" s="2">
        <v>-0.27214848999171848</v>
      </c>
      <c r="AZ56" s="2">
        <v>-0.90825141866692849</v>
      </c>
      <c r="BA56" s="2">
        <v>-0.32295807125582854</v>
      </c>
      <c r="BB56" s="2">
        <v>-0.95947554365487864</v>
      </c>
      <c r="BC56" s="2">
        <v>-1.6006323469717083</v>
      </c>
      <c r="BD56" s="2">
        <v>-0.28737432621132347</v>
      </c>
      <c r="BE56" s="2">
        <v>-1.0949673588978888</v>
      </c>
      <c r="BF56" s="2">
        <v>-0.75193091250857147</v>
      </c>
      <c r="BG56" s="2">
        <v>-0.67346980975969861</v>
      </c>
      <c r="BH56" s="2">
        <v>-0.71569357524113852</v>
      </c>
      <c r="BI56" s="2">
        <v>-0.92324293489774856</v>
      </c>
      <c r="BJ56" s="2">
        <v>-0.44567733828184852</v>
      </c>
      <c r="BK56" s="2">
        <v>-1.2725512015830382</v>
      </c>
      <c r="BL56" s="2">
        <v>-1.1301886816580686</v>
      </c>
      <c r="BM56" s="2">
        <v>-1.6434049928918184</v>
      </c>
      <c r="BN56" s="2">
        <v>-3.04323731578926E-2</v>
      </c>
      <c r="BO56" s="2">
        <v>-0.69760923384900864</v>
      </c>
      <c r="BP56" s="2">
        <v>-0.90573575084675861</v>
      </c>
      <c r="BQ56" s="2">
        <v>-0.85847220905542854</v>
      </c>
      <c r="BR56" s="2">
        <v>-1.7321272365156886</v>
      </c>
      <c r="BS56" s="2">
        <v>-1.4116186533976585</v>
      </c>
      <c r="BT56" s="2">
        <v>0.20805858561528146</v>
      </c>
      <c r="BU56" s="2">
        <v>0.26952403772487743</v>
      </c>
      <c r="BV56" s="2">
        <v>0.19992535397606848</v>
      </c>
      <c r="BW56" s="2">
        <v>-0.58836486799456866</v>
      </c>
      <c r="BY56">
        <f t="shared" si="6"/>
        <v>-4.2500759636829873E-2</v>
      </c>
      <c r="BZ56">
        <f t="shared" si="7"/>
        <v>-0.6679518490444234</v>
      </c>
      <c r="CA56">
        <f t="shared" si="8"/>
        <v>1.5426931059440554</v>
      </c>
      <c r="CB56">
        <f t="shared" si="9"/>
        <v>6.9263950717749385E-3</v>
      </c>
      <c r="CC56">
        <f t="shared" si="10"/>
        <v>0.62545108940759353</v>
      </c>
      <c r="CD56">
        <f t="shared" si="11"/>
        <v>2.1594927405372868</v>
      </c>
      <c r="CE56" t="s">
        <v>93</v>
      </c>
      <c r="CH56" t="s">
        <v>126</v>
      </c>
      <c r="CI56">
        <v>0.10455855399002867</v>
      </c>
      <c r="CJ56">
        <v>0.23640848648743687</v>
      </c>
    </row>
    <row r="57" spans="1:88" x14ac:dyDescent="0.2">
      <c r="A57" t="s">
        <v>94</v>
      </c>
      <c r="B57" s="1">
        <v>0.23610173321774297</v>
      </c>
      <c r="C57" s="1">
        <v>9.7327544112603026E-2</v>
      </c>
      <c r="D57" s="1">
        <v>0.72539813389904695</v>
      </c>
      <c r="E57" s="1">
        <v>0.8651886660740371</v>
      </c>
      <c r="F57" s="1">
        <v>2.5906642098111972</v>
      </c>
      <c r="G57" s="1">
        <v>1.7471724627449172</v>
      </c>
      <c r="H57" s="1">
        <v>1.2869181857847671</v>
      </c>
      <c r="I57" s="1">
        <v>1.0593338443460871</v>
      </c>
      <c r="J57" s="1">
        <v>2.2054182545023382</v>
      </c>
      <c r="K57" s="1">
        <v>1.3921164250044116</v>
      </c>
      <c r="L57" s="1">
        <v>1.644259989896238</v>
      </c>
      <c r="M57" s="1">
        <v>2.4093763361478979</v>
      </c>
      <c r="N57" s="1">
        <v>1.368729962067657</v>
      </c>
      <c r="O57" s="1">
        <v>2.160705631832367</v>
      </c>
      <c r="P57" s="1">
        <v>0.66276715232032712</v>
      </c>
      <c r="Q57" s="1">
        <v>0.33164214241072598</v>
      </c>
      <c r="R57" s="1">
        <v>0.8475432689399871</v>
      </c>
      <c r="S57" s="1">
        <v>1.991899306921497</v>
      </c>
      <c r="T57" s="1">
        <v>1.6441571844152272</v>
      </c>
      <c r="U57" s="1">
        <v>1.9653339120485469</v>
      </c>
      <c r="V57" s="1">
        <v>2.3337793928713566</v>
      </c>
      <c r="W57" s="1">
        <v>-0.14955338371951199</v>
      </c>
      <c r="X57" s="1">
        <v>1.4486494453229171</v>
      </c>
      <c r="Y57" s="1">
        <v>1.9201241440860268</v>
      </c>
      <c r="Z57" s="1">
        <v>1.1277753311418679</v>
      </c>
      <c r="AA57" s="1">
        <v>0.51562950936812157</v>
      </c>
      <c r="AB57" s="1">
        <v>1.5756648693404778</v>
      </c>
      <c r="AC57" s="1">
        <v>1.4510397647872979</v>
      </c>
      <c r="AD57" s="1">
        <v>0.80525386620986783</v>
      </c>
      <c r="AE57" s="1">
        <v>1.2305214745666579</v>
      </c>
      <c r="AF57" s="1">
        <v>1.7986974810689877</v>
      </c>
      <c r="AG57" s="1">
        <v>2.865005641658068</v>
      </c>
      <c r="AH57" s="1">
        <v>2.5408332161588083</v>
      </c>
      <c r="AI57" s="1">
        <v>2.1154334919463178</v>
      </c>
      <c r="AJ57" s="1">
        <v>-0.10940301429714505</v>
      </c>
      <c r="AK57" s="1">
        <v>3.4739141264167372</v>
      </c>
      <c r="AL57" s="2">
        <v>1.4025772045583671</v>
      </c>
      <c r="AM57" s="2">
        <v>1.4457044856048129</v>
      </c>
      <c r="AN57" s="2">
        <v>1.5451128568470449</v>
      </c>
      <c r="AO57" s="2">
        <v>1.988874051973887</v>
      </c>
      <c r="AP57" s="2">
        <v>1.2280029395582421</v>
      </c>
      <c r="AQ57" s="2">
        <v>1.5636851234532161</v>
      </c>
      <c r="AR57" s="2">
        <v>0.71998913475382997</v>
      </c>
      <c r="AS57" s="2">
        <v>0.14259266290777295</v>
      </c>
      <c r="AT57" s="2">
        <v>1.4023555194287289</v>
      </c>
      <c r="AU57" s="2">
        <v>1.3090599627838668</v>
      </c>
      <c r="AV57" s="2">
        <v>1.2583802481477651</v>
      </c>
      <c r="AW57" s="2">
        <v>1.7106336287635491</v>
      </c>
      <c r="AX57" s="2">
        <v>0.88762350026720804</v>
      </c>
      <c r="AY57" s="2">
        <v>1.9815802926573509</v>
      </c>
      <c r="AZ57" s="2">
        <v>0.615096767221194</v>
      </c>
      <c r="BA57" s="2">
        <v>1.4674143134780799</v>
      </c>
      <c r="BB57" s="2">
        <v>1.0669099647870621</v>
      </c>
      <c r="BC57" s="2">
        <v>2.4348140009353036E-2</v>
      </c>
      <c r="BD57" s="2">
        <v>2.1290094377985018</v>
      </c>
      <c r="BE57" s="2">
        <v>1.5151501924249839</v>
      </c>
      <c r="BF57" s="2">
        <v>2.5650617848052915</v>
      </c>
      <c r="BG57" s="2">
        <v>1.3206940389200008</v>
      </c>
      <c r="BH57" s="2">
        <v>1.5020760715740591</v>
      </c>
      <c r="BI57" s="2">
        <v>1.162906174660808</v>
      </c>
      <c r="BJ57" s="2">
        <v>1.5434343104840429</v>
      </c>
      <c r="BK57" s="2">
        <v>0.66215613685199204</v>
      </c>
      <c r="BL57" s="2">
        <v>0.40937253776732407</v>
      </c>
      <c r="BM57" s="2">
        <v>-0.2468790112009569</v>
      </c>
      <c r="BN57" s="2">
        <v>2.0429852061672209</v>
      </c>
      <c r="BO57" s="2">
        <v>1.910344564369103</v>
      </c>
      <c r="BP57" s="2">
        <v>0.79577598101818003</v>
      </c>
      <c r="BQ57" s="2">
        <v>0.34223909589236201</v>
      </c>
      <c r="BR57" s="2">
        <v>0.17740419690642306</v>
      </c>
      <c r="BS57" s="2">
        <v>0.70732160828596302</v>
      </c>
      <c r="BT57" s="2">
        <v>2.0647121963527892</v>
      </c>
      <c r="BU57" s="2">
        <v>3.0580036043998731</v>
      </c>
      <c r="BV57" s="2">
        <v>2.1729113169431589</v>
      </c>
      <c r="BW57" s="2">
        <v>1.6092109105654901</v>
      </c>
      <c r="BY57">
        <f t="shared" si="6"/>
        <v>1.4493172139840129</v>
      </c>
      <c r="BZ57">
        <f t="shared" si="7"/>
        <v>1.2948376618996824</v>
      </c>
      <c r="CA57">
        <f t="shared" si="8"/>
        <v>1.1130200271549349</v>
      </c>
      <c r="CB57">
        <f t="shared" si="9"/>
        <v>0.40850348405679604</v>
      </c>
      <c r="CC57">
        <f t="shared" si="10"/>
        <v>0.15447955208433059</v>
      </c>
      <c r="CD57">
        <f t="shared" si="11"/>
        <v>0.38880423509193623</v>
      </c>
      <c r="CE57" t="s">
        <v>94</v>
      </c>
      <c r="CH57" t="s">
        <v>108</v>
      </c>
      <c r="CI57">
        <v>-8.1784016582833782E-2</v>
      </c>
      <c r="CJ57">
        <v>0.23441330845499361</v>
      </c>
    </row>
    <row r="58" spans="1:88" x14ac:dyDescent="0.2">
      <c r="A58" t="s">
        <v>95</v>
      </c>
      <c r="B58" s="1">
        <v>-1.6082899701473012</v>
      </c>
      <c r="C58" s="1">
        <v>-0.32869366110438963</v>
      </c>
      <c r="D58" s="1">
        <v>-0.79007255859704029</v>
      </c>
      <c r="E58" s="1">
        <v>-1.0839424358485832</v>
      </c>
      <c r="F58" s="1">
        <v>-0.55774123858096414</v>
      </c>
      <c r="G58" s="1">
        <v>-0.97884162559809029</v>
      </c>
      <c r="H58" s="1">
        <v>-1.2060230632137943</v>
      </c>
      <c r="I58" s="1">
        <v>-1.3774641644350112</v>
      </c>
      <c r="J58" s="1">
        <v>-0.46478951857767747</v>
      </c>
      <c r="K58" s="1">
        <v>-1.1141631311902311</v>
      </c>
      <c r="L58" s="1">
        <v>-0.32527293077753033</v>
      </c>
      <c r="M58" s="1">
        <v>0.67164581417504654</v>
      </c>
      <c r="N58" s="1">
        <v>-0.48372144748176721</v>
      </c>
      <c r="O58" s="1">
        <v>-0.3510843327244072</v>
      </c>
      <c r="P58" s="1">
        <v>-0.42403576776016522</v>
      </c>
      <c r="Q58" s="1">
        <v>-1.6729899770034711</v>
      </c>
      <c r="R58" s="1">
        <v>-1.7263283614996812</v>
      </c>
      <c r="S58" s="1">
        <v>-0.27015109938330689</v>
      </c>
      <c r="T58" s="1">
        <v>-0.98215542753410423</v>
      </c>
      <c r="U58" s="1">
        <v>1.6104133854306688</v>
      </c>
      <c r="V58" s="1">
        <v>-1.4386818581492111</v>
      </c>
      <c r="W58" s="1">
        <v>-0.63856845858134315</v>
      </c>
      <c r="X58" s="1">
        <v>-0.70999560176178522</v>
      </c>
      <c r="Y58" s="1">
        <v>-0.40887271174530621</v>
      </c>
      <c r="Z58" s="1">
        <v>-0.48934710461243047</v>
      </c>
      <c r="AA58" s="1">
        <v>-0.70276450572524907</v>
      </c>
      <c r="AB58" s="1">
        <v>-0.91052342212097448</v>
      </c>
      <c r="AC58" s="1">
        <v>-0.81951485710213745</v>
      </c>
      <c r="AD58" s="1">
        <v>-0.9572533015660124</v>
      </c>
      <c r="AE58" s="1">
        <v>-0.65372128184510747</v>
      </c>
      <c r="AF58" s="1">
        <v>-0.32522091572971923</v>
      </c>
      <c r="AG58" s="1">
        <v>-1.0261703968129654</v>
      </c>
      <c r="AH58" s="1">
        <v>0.23028574619758557</v>
      </c>
      <c r="AI58" s="1">
        <v>-3.5083486512975437E-2</v>
      </c>
      <c r="AJ58" s="1">
        <v>0.56847585476900753</v>
      </c>
      <c r="AK58" s="1">
        <v>1.7333709106768946</v>
      </c>
      <c r="AL58" s="2">
        <v>-0.77497632108261749</v>
      </c>
      <c r="AM58" s="2">
        <v>-0.6092282641447675</v>
      </c>
      <c r="AN58" s="2">
        <v>-5.6031248394378452E-2</v>
      </c>
      <c r="AO58" s="2">
        <v>-0.68875572358116743</v>
      </c>
      <c r="AP58" s="2">
        <v>-1.0072705368439374</v>
      </c>
      <c r="AQ58" s="2">
        <v>-0.13303313643666148</v>
      </c>
      <c r="AR58" s="2">
        <v>-0.52706793443098543</v>
      </c>
      <c r="AS58" s="2">
        <v>-1.5603148754744975</v>
      </c>
      <c r="AT58" s="2">
        <v>-0.34945234665489244</v>
      </c>
      <c r="AU58" s="2">
        <v>0.19420230818938755</v>
      </c>
      <c r="AV58" s="2">
        <v>-0.25142515906730145</v>
      </c>
      <c r="AW58" s="2">
        <v>-0.46547789317036647</v>
      </c>
      <c r="AX58" s="2">
        <v>-6.1234351481393445E-2</v>
      </c>
      <c r="AY58" s="2">
        <v>-0.39547357267211347</v>
      </c>
      <c r="AZ58" s="2">
        <v>-0.81940851740408749</v>
      </c>
      <c r="BA58" s="2">
        <v>-1.3295980134619674</v>
      </c>
      <c r="BB58" s="2">
        <v>-1.9840775398785973</v>
      </c>
      <c r="BC58" s="2">
        <v>-1.6375783249056275</v>
      </c>
      <c r="BD58" s="2">
        <v>-0.2852840597356251</v>
      </c>
      <c r="BE58" s="2">
        <v>-0.55098757108864738</v>
      </c>
      <c r="BF58" s="2">
        <v>0.20451855439459993</v>
      </c>
      <c r="BG58" s="2">
        <v>-0.94685797559377738</v>
      </c>
      <c r="BH58" s="2">
        <v>-0.72615427970236746</v>
      </c>
      <c r="BI58" s="2">
        <v>-0.19717297551747648</v>
      </c>
      <c r="BJ58" s="2">
        <v>-1.4997656433350874</v>
      </c>
      <c r="BK58" s="2">
        <v>-1.6215900126130174</v>
      </c>
      <c r="BL58" s="2">
        <v>-1.7487941861452374</v>
      </c>
      <c r="BM58" s="2">
        <v>-1.7641238229843477</v>
      </c>
      <c r="BN58" s="2">
        <v>-1.1366786032056275</v>
      </c>
      <c r="BO58" s="2">
        <v>-0.94018816302741737</v>
      </c>
      <c r="BP58" s="2">
        <v>-0.18089733739602343</v>
      </c>
      <c r="BQ58" s="2">
        <v>-1.2977590367432974</v>
      </c>
      <c r="BR58" s="2">
        <v>-1.1545582880512875</v>
      </c>
      <c r="BS58" s="2">
        <v>-1.1249561818055174</v>
      </c>
      <c r="BT58" s="2">
        <v>0.47968734531374863</v>
      </c>
      <c r="BU58" s="2">
        <v>0.61528395797174751</v>
      </c>
      <c r="BV58" s="2">
        <v>9.4099491440995553E-2</v>
      </c>
      <c r="BW58" s="2">
        <v>0.77989084379261953</v>
      </c>
      <c r="BY58">
        <f t="shared" si="6"/>
        <v>-0.55686908062426477</v>
      </c>
      <c r="BZ58">
        <f t="shared" si="7"/>
        <v>-0.66996024723492142</v>
      </c>
      <c r="CA58">
        <f t="shared" si="8"/>
        <v>1.0815431060654881</v>
      </c>
      <c r="CB58">
        <f t="shared" si="9"/>
        <v>0.51545626828069846</v>
      </c>
      <c r="CC58">
        <f t="shared" si="10"/>
        <v>0.11309116661065678</v>
      </c>
      <c r="CD58">
        <f t="shared" si="11"/>
        <v>0.28780817470640269</v>
      </c>
      <c r="CE58" t="s">
        <v>95</v>
      </c>
      <c r="CH58" t="s">
        <v>85</v>
      </c>
      <c r="CI58">
        <v>-0.12272878230702737</v>
      </c>
      <c r="CJ58">
        <v>0.22696906196469074</v>
      </c>
    </row>
    <row r="59" spans="1:88" x14ac:dyDescent="0.2">
      <c r="A59" t="s">
        <v>96</v>
      </c>
      <c r="B59" s="1">
        <v>1.1275714448737022</v>
      </c>
      <c r="C59" s="1">
        <v>0.55383915026853203</v>
      </c>
      <c r="D59" s="1" t="s">
        <v>67</v>
      </c>
      <c r="E59" s="1" t="s">
        <v>67</v>
      </c>
      <c r="F59" s="1">
        <v>2.1928759764058219</v>
      </c>
      <c r="G59" s="1">
        <v>1.4496103198849422</v>
      </c>
      <c r="H59" s="1">
        <v>0.61390047022598204</v>
      </c>
      <c r="I59" s="1">
        <v>0.43434046121156222</v>
      </c>
      <c r="J59" s="1" t="s">
        <v>67</v>
      </c>
      <c r="K59" s="1">
        <v>2.084003367931647</v>
      </c>
      <c r="L59" s="1">
        <v>-9.0253903554334158E-2</v>
      </c>
      <c r="M59" s="1">
        <v>0.90669654672574607</v>
      </c>
      <c r="N59" s="1">
        <v>1.5014996528827422</v>
      </c>
      <c r="O59" s="1">
        <v>1.6245038295108423</v>
      </c>
      <c r="P59" s="1">
        <v>1.583841889032932</v>
      </c>
      <c r="Q59" s="1">
        <v>1.7477067224376823</v>
      </c>
      <c r="R59" s="1">
        <v>2.2675382806595321</v>
      </c>
      <c r="S59" s="1">
        <v>2.7212251712775419</v>
      </c>
      <c r="T59" s="1">
        <v>0.20672062983403205</v>
      </c>
      <c r="U59" s="1">
        <v>-3.0079804979179503E-3</v>
      </c>
      <c r="V59" s="1">
        <v>1.6317037302991422</v>
      </c>
      <c r="W59" s="1">
        <v>0.48856748409710216</v>
      </c>
      <c r="X59" s="1">
        <v>0.21398287485607215</v>
      </c>
      <c r="Y59" s="1">
        <v>1.0542983075714421</v>
      </c>
      <c r="Z59" s="1">
        <v>1.518305806242485</v>
      </c>
      <c r="AA59" s="1">
        <v>2.111798313594587</v>
      </c>
      <c r="AB59" s="1" t="s">
        <v>67</v>
      </c>
      <c r="AC59" s="1">
        <v>-9.3386968574014073E-2</v>
      </c>
      <c r="AD59" s="1">
        <v>2.0156763300528659</v>
      </c>
      <c r="AE59" s="1" t="s">
        <v>67</v>
      </c>
      <c r="AF59" s="1">
        <v>1.0715931209273519</v>
      </c>
      <c r="AG59" s="1">
        <v>-0.80601057610753402</v>
      </c>
      <c r="AH59" s="1" t="s">
        <v>67</v>
      </c>
      <c r="AI59" s="1">
        <v>1.7747250042050819</v>
      </c>
      <c r="AJ59" s="1">
        <v>-0.57229467334113404</v>
      </c>
      <c r="AK59" s="1">
        <v>-0.56420870919547417</v>
      </c>
      <c r="AL59" s="2">
        <v>1.6010427401349596</v>
      </c>
      <c r="AM59" s="2">
        <v>3.9130059534741597</v>
      </c>
      <c r="AN59" s="2">
        <v>1.6714498873438297</v>
      </c>
      <c r="AO59" s="2">
        <v>2.9402288213799999</v>
      </c>
      <c r="AP59" s="2">
        <v>0.35954474470636366</v>
      </c>
      <c r="AQ59" s="2">
        <v>0.14631760415482625</v>
      </c>
      <c r="AR59" s="2">
        <v>-0.29318311489909238</v>
      </c>
      <c r="AS59" s="2" t="s">
        <v>67</v>
      </c>
      <c r="AT59" s="2">
        <v>1.6384404808492097</v>
      </c>
      <c r="AU59" s="2">
        <v>2.8876494203892995</v>
      </c>
      <c r="AV59" s="2">
        <v>1.5749185699834696</v>
      </c>
      <c r="AW59" s="2">
        <v>2.7072876848484797</v>
      </c>
      <c r="AX59" s="2">
        <v>0.28743999135520765</v>
      </c>
      <c r="AY59" s="2">
        <v>1.5365413753874797</v>
      </c>
      <c r="AZ59" s="2">
        <v>1.1327787126834297</v>
      </c>
      <c r="BA59" s="2">
        <v>1.1939598162757596</v>
      </c>
      <c r="BB59" s="2">
        <v>1.9466291188282696</v>
      </c>
      <c r="BC59" s="2">
        <v>0.82431576160072262</v>
      </c>
      <c r="BD59" s="2">
        <v>1.9612191168326669</v>
      </c>
      <c r="BE59" s="2">
        <v>-0.16504050722404734</v>
      </c>
      <c r="BF59" s="2">
        <v>-0.28020883007403308</v>
      </c>
      <c r="BG59" s="2">
        <v>0.77144706159405463</v>
      </c>
      <c r="BH59" s="2">
        <v>0.3296928199939636</v>
      </c>
      <c r="BI59" s="2">
        <v>-5.7821112956663367E-2</v>
      </c>
      <c r="BJ59" s="2">
        <v>3.0283252860449297</v>
      </c>
      <c r="BK59" s="2">
        <v>1.3128337151540996</v>
      </c>
      <c r="BL59" s="2">
        <v>2.6437156683183596</v>
      </c>
      <c r="BM59" s="2">
        <v>1.8542326425314997</v>
      </c>
      <c r="BN59" s="2">
        <v>0.29951922061332464</v>
      </c>
      <c r="BO59" s="2">
        <v>0.83053808782327465</v>
      </c>
      <c r="BP59" s="2">
        <v>0.55506159048705561</v>
      </c>
      <c r="BQ59" s="2">
        <v>0.82432231382324461</v>
      </c>
      <c r="BR59" s="2">
        <v>1.2253661693266495</v>
      </c>
      <c r="BS59" s="2">
        <v>0.95271735056236662</v>
      </c>
      <c r="BT59" s="2">
        <v>1.3188222150366296</v>
      </c>
      <c r="BU59" s="2">
        <v>1.4385758209441597</v>
      </c>
      <c r="BV59" s="2">
        <v>1.2427077157944997</v>
      </c>
      <c r="BW59" s="2">
        <v>1.0896712153081396</v>
      </c>
      <c r="BY59">
        <f t="shared" si="6"/>
        <v>1.0255787357912989</v>
      </c>
      <c r="BZ59">
        <f t="shared" si="7"/>
        <v>1.2768666250927174</v>
      </c>
      <c r="CA59">
        <f t="shared" si="8"/>
        <v>0.84014608464131579</v>
      </c>
      <c r="CB59">
        <f t="shared" si="9"/>
        <v>0.29836678615585505</v>
      </c>
      <c r="CC59">
        <f t="shared" si="10"/>
        <v>-0.25128788930141865</v>
      </c>
      <c r="CD59">
        <f t="shared" si="11"/>
        <v>0.52524952366608935</v>
      </c>
      <c r="CE59" t="s">
        <v>96</v>
      </c>
      <c r="CH59" t="s">
        <v>51</v>
      </c>
      <c r="CI59">
        <v>0.12174292862938639</v>
      </c>
      <c r="CJ59">
        <v>0.20385701975771039</v>
      </c>
    </row>
    <row r="60" spans="1:88" x14ac:dyDescent="0.2">
      <c r="A60" t="s">
        <v>97</v>
      </c>
      <c r="B60" s="1">
        <v>0.65386724827941212</v>
      </c>
      <c r="C60" s="1">
        <v>0.28870942682480616</v>
      </c>
      <c r="D60" s="1">
        <v>6.1184216761814021</v>
      </c>
      <c r="E60" s="1">
        <v>4.0247215651725519</v>
      </c>
      <c r="F60" s="1">
        <v>1.4559971963702023</v>
      </c>
      <c r="G60" s="1">
        <v>1.0659910413104021</v>
      </c>
      <c r="H60" s="1">
        <v>0.52843270231599226</v>
      </c>
      <c r="I60" s="1">
        <v>0.38650523110376223</v>
      </c>
      <c r="J60" s="1">
        <v>1.3775462623351702</v>
      </c>
      <c r="K60" s="1">
        <v>2.7510526957605568</v>
      </c>
      <c r="L60" s="1">
        <v>5.27248418514879</v>
      </c>
      <c r="M60" s="1">
        <v>3.7491333778238101</v>
      </c>
      <c r="N60" s="1">
        <v>2.9503795317279522</v>
      </c>
      <c r="O60" s="1">
        <v>0.95250890215476214</v>
      </c>
      <c r="P60" s="1">
        <v>3.8306902853216922</v>
      </c>
      <c r="Q60" s="1" t="s">
        <v>67</v>
      </c>
      <c r="R60" s="1">
        <v>7.0518701589357118</v>
      </c>
      <c r="S60" s="1">
        <v>1.8709440631853922</v>
      </c>
      <c r="T60" s="1">
        <v>1.6661117944280921</v>
      </c>
      <c r="U60" s="1">
        <v>2.167374893164252</v>
      </c>
      <c r="V60" s="1">
        <v>-0.18901530928118482</v>
      </c>
      <c r="W60" s="1">
        <v>-5.380234125298422E-4</v>
      </c>
      <c r="X60" s="1">
        <v>0.30514749190727919</v>
      </c>
      <c r="Y60" s="1">
        <v>1.9953483750674321</v>
      </c>
      <c r="Z60" s="1">
        <v>3.1164792548063298</v>
      </c>
      <c r="AA60" s="1">
        <v>1.4012775524594836</v>
      </c>
      <c r="AB60" s="1">
        <v>1.4155638103756298</v>
      </c>
      <c r="AC60" s="1">
        <v>1.3919107403340401</v>
      </c>
      <c r="AD60" s="1">
        <v>1.4631455126346502</v>
      </c>
      <c r="AE60" s="1">
        <v>2.9320427018861501</v>
      </c>
      <c r="AF60" s="1">
        <v>1.6049355193873298</v>
      </c>
      <c r="AG60" s="1">
        <v>1.8804695895119701</v>
      </c>
      <c r="AH60" s="1">
        <v>2.7320732692341099</v>
      </c>
      <c r="AI60" s="1">
        <v>5.51108052707208</v>
      </c>
      <c r="AJ60" s="1">
        <v>3.7177087298546496</v>
      </c>
      <c r="AK60" s="1">
        <v>3.2565386027060503</v>
      </c>
      <c r="AL60" s="2">
        <v>3.2538319912154723</v>
      </c>
      <c r="AM60" s="2">
        <v>5.783528138041782</v>
      </c>
      <c r="AN60" s="2">
        <v>2.8462876404959117</v>
      </c>
      <c r="AO60" s="2">
        <v>4.2543317555731814</v>
      </c>
      <c r="AP60" s="2">
        <v>2.6178573757244719</v>
      </c>
      <c r="AQ60" s="2">
        <v>1.8193997532435997</v>
      </c>
      <c r="AR60" s="2">
        <v>0.70990046729930889</v>
      </c>
      <c r="AS60" s="2">
        <v>1.375966873636767</v>
      </c>
      <c r="AT60" s="2">
        <v>3.4871718948428621</v>
      </c>
      <c r="AU60" s="2">
        <v>2.9316819671348417</v>
      </c>
      <c r="AV60" s="2">
        <v>2.3885599832386921</v>
      </c>
      <c r="AW60" s="2">
        <v>3.2617402868907019</v>
      </c>
      <c r="AX60" s="2">
        <v>2.9546417749615319</v>
      </c>
      <c r="AY60" s="2">
        <v>2.9194015351029119</v>
      </c>
      <c r="AZ60" s="2">
        <v>2.260585530920352</v>
      </c>
      <c r="BA60" s="2">
        <v>4.4029274229623523</v>
      </c>
      <c r="BB60" s="2">
        <v>2.6504679204670119</v>
      </c>
      <c r="BC60" s="2">
        <v>1.3748318427847899</v>
      </c>
      <c r="BD60" s="2">
        <v>3.9303888808952667</v>
      </c>
      <c r="BE60" s="2">
        <v>1.5445081380297569</v>
      </c>
      <c r="BF60" s="2">
        <v>2.7433934476360564</v>
      </c>
      <c r="BG60" s="2">
        <v>2.4610408267174519</v>
      </c>
      <c r="BH60" s="2">
        <v>1.8401685270503458</v>
      </c>
      <c r="BI60" s="2">
        <v>2.0117779368471291</v>
      </c>
      <c r="BJ60" s="2">
        <v>2.7959788147778819</v>
      </c>
      <c r="BK60" s="2">
        <v>3.8176939669073118</v>
      </c>
      <c r="BL60" s="2">
        <v>1.6251949288996559</v>
      </c>
      <c r="BM60" s="2">
        <v>1.6517843977177049</v>
      </c>
      <c r="BN60" s="2">
        <v>1.5121951758064629</v>
      </c>
      <c r="BO60" s="2">
        <v>2.7304080679497518</v>
      </c>
      <c r="BP60" s="2">
        <v>1.281593494036309</v>
      </c>
      <c r="BQ60" s="2">
        <v>0.83772594549766688</v>
      </c>
      <c r="BR60" s="2">
        <v>1.0538553274519491</v>
      </c>
      <c r="BS60" s="2">
        <v>1.347839686783475</v>
      </c>
      <c r="BT60" s="2">
        <v>2.1292831633820422</v>
      </c>
      <c r="BU60" s="2">
        <v>3.0522176594705019</v>
      </c>
      <c r="BV60" s="2">
        <v>2.1987461766425018</v>
      </c>
      <c r="BW60" s="2">
        <v>3.1802452973450217</v>
      </c>
      <c r="BY60">
        <f t="shared" si="6"/>
        <v>2.3056260166310905</v>
      </c>
      <c r="BZ60">
        <f t="shared" si="7"/>
        <v>2.5010303687994946</v>
      </c>
      <c r="CA60">
        <f t="shared" si="8"/>
        <v>0.87332808908758963</v>
      </c>
      <c r="CB60">
        <f t="shared" si="9"/>
        <v>0.57598863794691779</v>
      </c>
      <c r="CC60">
        <f t="shared" si="10"/>
        <v>-0.19540435216840427</v>
      </c>
      <c r="CD60">
        <f t="shared" si="11"/>
        <v>0.23958608346155449</v>
      </c>
      <c r="CE60" t="s">
        <v>97</v>
      </c>
      <c r="CH60" t="s">
        <v>73</v>
      </c>
      <c r="CI60">
        <v>0.10218667139689955</v>
      </c>
      <c r="CJ60">
        <v>0.19930967430340499</v>
      </c>
    </row>
    <row r="61" spans="1:88" x14ac:dyDescent="0.2">
      <c r="A61" t="s">
        <v>98</v>
      </c>
      <c r="B61" s="1">
        <v>-0.42646681953660581</v>
      </c>
      <c r="C61" s="1">
        <v>0.48141128424368118</v>
      </c>
      <c r="D61" s="1">
        <v>0.63377162021648914</v>
      </c>
      <c r="E61" s="1">
        <v>0.40820704045461847</v>
      </c>
      <c r="F61" s="1">
        <v>-1.2951440334856588</v>
      </c>
      <c r="G61" s="1">
        <v>-0.71483930584674871</v>
      </c>
      <c r="H61" s="1">
        <v>-0.91518462663583888</v>
      </c>
      <c r="I61" s="1">
        <v>-1.322326994536839</v>
      </c>
      <c r="J61" s="1">
        <v>0.99391290595403459</v>
      </c>
      <c r="K61" s="1">
        <v>-0.1243854845368873</v>
      </c>
      <c r="L61" s="1">
        <v>-0.80164657091845526</v>
      </c>
      <c r="M61" s="1">
        <v>1.2008145634700926</v>
      </c>
      <c r="N61" s="1">
        <v>0.84510741477141416</v>
      </c>
      <c r="O61" s="1">
        <v>0.6744003850390522</v>
      </c>
      <c r="P61" s="1">
        <v>1.210758320991387</v>
      </c>
      <c r="Q61" s="1">
        <v>0.44562077672034539</v>
      </c>
      <c r="R61" s="1">
        <v>-1.604986173137569</v>
      </c>
      <c r="S61" s="1">
        <v>0.41417903598247996</v>
      </c>
      <c r="T61" s="1">
        <v>-0.67169130257140874</v>
      </c>
      <c r="U61" s="1">
        <v>0.6664548522654532</v>
      </c>
      <c r="V61" s="1">
        <v>-0.98969401098136889</v>
      </c>
      <c r="W61" s="1">
        <v>0.47456366266166217</v>
      </c>
      <c r="X61" s="1">
        <v>1.0358106861337113</v>
      </c>
      <c r="Y61" s="1">
        <v>1.1193800452733682</v>
      </c>
      <c r="Z61" s="1">
        <v>0.54428567193365462</v>
      </c>
      <c r="AA61" s="1">
        <v>0.5986445005405816</v>
      </c>
      <c r="AB61" s="1">
        <v>0.20174961646268222</v>
      </c>
      <c r="AC61" s="1">
        <v>0.17431812897352905</v>
      </c>
      <c r="AD61" s="1">
        <v>0.37485343446388564</v>
      </c>
      <c r="AE61" s="1">
        <v>-0.55749505987598935</v>
      </c>
      <c r="AF61" s="1">
        <v>0.23228544542907015</v>
      </c>
      <c r="AG61" s="1">
        <v>-0.55086301648217328</v>
      </c>
      <c r="AH61" s="1">
        <v>-0.56508590795418234</v>
      </c>
      <c r="AI61" s="1">
        <v>-0.64545798405648425</v>
      </c>
      <c r="AJ61" s="1">
        <v>0.70009624971900375</v>
      </c>
      <c r="AK61" s="1">
        <v>0.5140089095603757</v>
      </c>
      <c r="AL61" s="2">
        <v>0.41051598706472087</v>
      </c>
      <c r="AM61" s="2">
        <v>0.39281168971044883</v>
      </c>
      <c r="AN61" s="2">
        <v>0.79115432173962286</v>
      </c>
      <c r="AO61" s="2">
        <v>0.39834636425111086</v>
      </c>
      <c r="AP61" s="2">
        <v>0.23970487762697984</v>
      </c>
      <c r="AQ61" s="2">
        <v>0.98729706125581296</v>
      </c>
      <c r="AR61" s="2">
        <v>0.95752925571361303</v>
      </c>
      <c r="AS61" s="2">
        <v>0.31970432881256589</v>
      </c>
      <c r="AT61" s="2">
        <v>0.33620854157819086</v>
      </c>
      <c r="AU61" s="2">
        <v>1.358643780711583</v>
      </c>
      <c r="AV61" s="2">
        <v>0.25731289768616289</v>
      </c>
      <c r="AW61" s="2">
        <v>-0.63420181407700815</v>
      </c>
      <c r="AX61" s="2">
        <v>-0.13976770061602711</v>
      </c>
      <c r="AY61" s="2">
        <v>-0.13862710719574411</v>
      </c>
      <c r="AZ61" s="2">
        <v>-7.0819895792652132E-2</v>
      </c>
      <c r="BA61" s="2">
        <v>0.41622514770614688</v>
      </c>
      <c r="BB61" s="2">
        <v>-0.37202554531613596</v>
      </c>
      <c r="BC61" s="2">
        <v>-0.44343884556698371</v>
      </c>
      <c r="BD61" s="2">
        <v>0.42914936517012864</v>
      </c>
      <c r="BE61" s="2">
        <v>-0.23426608469687113</v>
      </c>
      <c r="BF61" s="2">
        <v>1.0689534192251697</v>
      </c>
      <c r="BG61" s="2">
        <v>0.32826336273112383</v>
      </c>
      <c r="BH61" s="2">
        <v>0.19715899093795791</v>
      </c>
      <c r="BI61" s="2">
        <v>-1.4168839184036031</v>
      </c>
      <c r="BJ61" s="2">
        <v>0.58626100557936289</v>
      </c>
      <c r="BK61" s="2">
        <v>-0.37714437135412027</v>
      </c>
      <c r="BL61" s="2">
        <v>-0.60376994777264814</v>
      </c>
      <c r="BM61" s="2">
        <v>-7.1309619427501136E-2</v>
      </c>
      <c r="BN61" s="2">
        <v>0.48278706092716789</v>
      </c>
      <c r="BO61" s="2">
        <v>0.12393331183443485</v>
      </c>
      <c r="BP61" s="2">
        <v>0.34246633704056989</v>
      </c>
      <c r="BQ61" s="2">
        <v>0.14283438707693591</v>
      </c>
      <c r="BR61" s="2">
        <v>-6.1014504583300155E-2</v>
      </c>
      <c r="BS61" s="2">
        <v>0.3623758035478199</v>
      </c>
      <c r="BT61" s="2">
        <v>0.70894893405326287</v>
      </c>
      <c r="BU61" s="2">
        <v>-0.24719869694873015</v>
      </c>
      <c r="BV61" s="2">
        <v>0.36041134211923581</v>
      </c>
      <c r="BW61" s="2">
        <v>0.91591323939393288</v>
      </c>
      <c r="BY61">
        <f t="shared" si="6"/>
        <v>7.6649090575121204E-2</v>
      </c>
      <c r="BZ61">
        <f t="shared" si="7"/>
        <v>0.21327480951954572</v>
      </c>
      <c r="CA61">
        <f t="shared" si="8"/>
        <v>0.90964421188000788</v>
      </c>
      <c r="CB61">
        <f t="shared" si="9"/>
        <v>0.390073397636574</v>
      </c>
      <c r="CC61">
        <f t="shared" si="10"/>
        <v>-0.13662571894442455</v>
      </c>
      <c r="CD61">
        <f t="shared" si="11"/>
        <v>0.40885366684685814</v>
      </c>
      <c r="CE61" t="s">
        <v>98</v>
      </c>
      <c r="CH61" t="s">
        <v>86</v>
      </c>
      <c r="CI61">
        <v>5.5982666498725207E-2</v>
      </c>
      <c r="CJ61">
        <v>0.19282585760212698</v>
      </c>
    </row>
    <row r="62" spans="1:88" x14ac:dyDescent="0.2">
      <c r="A62" t="s">
        <v>99</v>
      </c>
      <c r="B62" s="1">
        <v>0.75193103618510082</v>
      </c>
      <c r="C62" s="1">
        <v>0.20583146784119888</v>
      </c>
      <c r="D62" s="1">
        <v>4.9947929372551965</v>
      </c>
      <c r="E62" s="1">
        <v>3.4146830954829057</v>
      </c>
      <c r="F62" s="1">
        <v>1.2438726035161158</v>
      </c>
      <c r="G62" s="1">
        <v>1.0439276378441658</v>
      </c>
      <c r="H62" s="1">
        <v>1.2650049931040459</v>
      </c>
      <c r="I62" s="1">
        <v>1.7772780389154759</v>
      </c>
      <c r="J62" s="1">
        <v>1.7508488502697963</v>
      </c>
      <c r="K62" s="1">
        <v>2.3794402284438001</v>
      </c>
      <c r="L62" s="1">
        <v>1.0208069180381161</v>
      </c>
      <c r="M62" s="1">
        <v>1.7228214554097963</v>
      </c>
      <c r="N62" s="1">
        <v>2.1759160365863859</v>
      </c>
      <c r="O62" s="1">
        <v>0.90779928743964589</v>
      </c>
      <c r="P62" s="1">
        <v>3.3496136990684557</v>
      </c>
      <c r="Q62" s="1">
        <v>3.0438176645185759</v>
      </c>
      <c r="R62" s="1">
        <v>3.2837147233457258</v>
      </c>
      <c r="S62" s="1">
        <v>2.5461141015517459</v>
      </c>
      <c r="T62" s="1">
        <v>1.5270779909574059</v>
      </c>
      <c r="U62" s="1">
        <v>2.2612639645878256</v>
      </c>
      <c r="V62" s="1">
        <v>1.8396824117635058</v>
      </c>
      <c r="W62" s="1">
        <v>-0.10524454548752145</v>
      </c>
      <c r="X62" s="1">
        <v>1.0927397718897258</v>
      </c>
      <c r="Y62" s="1">
        <v>1.8367818520046857</v>
      </c>
      <c r="Z62" s="1">
        <v>1.2844894887761862</v>
      </c>
      <c r="AA62" s="1">
        <v>0.37250490068388808</v>
      </c>
      <c r="AB62" s="1">
        <v>1.8558241992065962</v>
      </c>
      <c r="AC62" s="1">
        <v>2.5563996829748059</v>
      </c>
      <c r="AD62" s="1">
        <v>1.297300252767696</v>
      </c>
      <c r="AE62" s="1">
        <v>2.031324048316276</v>
      </c>
      <c r="AF62" s="1">
        <v>1.4678939475337962</v>
      </c>
      <c r="AG62" s="1">
        <v>1.6756957818177161</v>
      </c>
      <c r="AH62" s="1">
        <v>2.1456108201211159</v>
      </c>
      <c r="AI62" s="1">
        <v>1.9593670856186263</v>
      </c>
      <c r="AJ62" s="1">
        <v>1.4010860372372762</v>
      </c>
      <c r="AK62" s="1">
        <v>2.3668890578919561</v>
      </c>
      <c r="AL62" s="2">
        <v>2.9985426798016235</v>
      </c>
      <c r="AM62" s="2">
        <v>3.7339027785553434</v>
      </c>
      <c r="AN62" s="2">
        <v>4.1470273366883035</v>
      </c>
      <c r="AO62" s="2">
        <v>2.8913479266722435</v>
      </c>
      <c r="AP62" s="2">
        <v>0.29996668722763448</v>
      </c>
      <c r="AQ62" s="2">
        <v>0.55665311768030645</v>
      </c>
      <c r="AR62" s="2">
        <v>0.12451358685617747</v>
      </c>
      <c r="AS62" s="2">
        <v>1.6331067594820334</v>
      </c>
      <c r="AT62" s="2">
        <v>2.0530035767704433</v>
      </c>
      <c r="AU62" s="2">
        <v>-0.34679818932477946</v>
      </c>
      <c r="AV62" s="2">
        <v>3.2977963726335133</v>
      </c>
      <c r="AW62" s="2">
        <v>3.6062444878716833</v>
      </c>
      <c r="AX62" s="2">
        <v>1.4004064978385435</v>
      </c>
      <c r="AY62" s="2">
        <v>2.7364528913525437</v>
      </c>
      <c r="AZ62" s="2">
        <v>3.2286455269454635</v>
      </c>
      <c r="BA62" s="2">
        <v>2.8940615664808034</v>
      </c>
      <c r="BB62" s="2">
        <v>2.8294793064641235</v>
      </c>
      <c r="BC62" s="2">
        <v>2.8532644309889235</v>
      </c>
      <c r="BD62" s="2">
        <v>3.2057428617245503</v>
      </c>
      <c r="BE62" s="2">
        <v>0.49159352188023447</v>
      </c>
      <c r="BF62" s="2">
        <v>2.2415768086604704</v>
      </c>
      <c r="BG62" s="2">
        <v>2.8420607763025236</v>
      </c>
      <c r="BH62" s="2">
        <v>1.7293734907172535</v>
      </c>
      <c r="BI62" s="2">
        <v>1.4908518924262635</v>
      </c>
      <c r="BJ62" s="2">
        <v>1.9009361973565535</v>
      </c>
      <c r="BK62" s="2">
        <v>2.4683404957779134</v>
      </c>
      <c r="BL62" s="2">
        <v>2.2264362803917335</v>
      </c>
      <c r="BM62" s="2">
        <v>2.3190099642815536</v>
      </c>
      <c r="BN62" s="2">
        <v>0.88868305863859953</v>
      </c>
      <c r="BO62" s="2">
        <v>0.72655142895257852</v>
      </c>
      <c r="BP62" s="2">
        <v>2.1855671119151436</v>
      </c>
      <c r="BQ62" s="2">
        <v>2.5695805526067637</v>
      </c>
      <c r="BR62" s="2">
        <v>2.0523154753911634</v>
      </c>
      <c r="BS62" s="2">
        <v>2.6541767157216234</v>
      </c>
      <c r="BT62" s="2">
        <v>1.5551276679595134</v>
      </c>
      <c r="BU62" s="2">
        <v>1.8138875261162535</v>
      </c>
      <c r="BV62" s="2">
        <v>0.7751167705941725</v>
      </c>
      <c r="BW62" s="2">
        <v>0.44285163564147745</v>
      </c>
      <c r="BY62">
        <f t="shared" si="6"/>
        <v>1.8262472645410501</v>
      </c>
      <c r="BZ62">
        <f t="shared" si="7"/>
        <v>2.0399315151063484</v>
      </c>
      <c r="CA62">
        <f t="shared" si="8"/>
        <v>0.86233225511967715</v>
      </c>
      <c r="CB62">
        <f t="shared" si="9"/>
        <v>0.38474028264226967</v>
      </c>
      <c r="CC62">
        <f t="shared" si="10"/>
        <v>-0.21368425056529844</v>
      </c>
      <c r="CD62">
        <f t="shared" si="11"/>
        <v>0.41483234030255278</v>
      </c>
      <c r="CE62" t="s">
        <v>99</v>
      </c>
      <c r="CH62" t="s">
        <v>59</v>
      </c>
      <c r="CI62">
        <v>0.11324832318510672</v>
      </c>
      <c r="CJ62">
        <v>0.18178254981025915</v>
      </c>
    </row>
    <row r="63" spans="1:88" x14ac:dyDescent="0.2">
      <c r="A63" t="s">
        <v>100</v>
      </c>
      <c r="B63" s="1">
        <v>0.66856064526516978</v>
      </c>
      <c r="C63" s="1">
        <v>0.4886159010589497</v>
      </c>
      <c r="D63" s="1">
        <v>2.4295960627691695</v>
      </c>
      <c r="E63" s="1">
        <v>1.7538359254529798</v>
      </c>
      <c r="F63" s="1">
        <v>2.4080515125217694</v>
      </c>
      <c r="G63" s="1">
        <v>2.9303717112337599</v>
      </c>
      <c r="H63" s="1">
        <v>1.2428283365782298</v>
      </c>
      <c r="I63" s="1">
        <v>0.71962714843662967</v>
      </c>
      <c r="J63" s="1">
        <v>2.1561207262503466</v>
      </c>
      <c r="K63" s="1">
        <v>2.3362998888080666</v>
      </c>
      <c r="L63" s="1">
        <v>1.5505300286118562</v>
      </c>
      <c r="M63" s="1">
        <v>2.7373954194987657</v>
      </c>
      <c r="N63" s="1">
        <v>1.9522482460856596</v>
      </c>
      <c r="O63" s="1">
        <v>1.5372227180648397</v>
      </c>
      <c r="P63" s="1">
        <v>2.6867143369646493</v>
      </c>
      <c r="Q63" s="1">
        <v>2.4005025109896394</v>
      </c>
      <c r="R63" s="1">
        <v>3.20891009415939</v>
      </c>
      <c r="S63" s="1">
        <v>2.8278563668897494</v>
      </c>
      <c r="T63" s="1">
        <v>2.0604815814353801</v>
      </c>
      <c r="U63" s="1">
        <v>2.1253621806130596</v>
      </c>
      <c r="V63" s="1">
        <v>2.1747682363810599</v>
      </c>
      <c r="W63" s="1">
        <v>-0.22960893057571929</v>
      </c>
      <c r="X63" s="1">
        <v>0.84976716718132961</v>
      </c>
      <c r="Y63" s="1">
        <v>1.5093879222676498</v>
      </c>
      <c r="Z63" s="1">
        <v>1.1697927789752562</v>
      </c>
      <c r="AA63" s="1">
        <v>1.0329167304134739</v>
      </c>
      <c r="AB63" s="1">
        <v>1.6281187757776161</v>
      </c>
      <c r="AC63" s="1">
        <v>1.8939666357416061</v>
      </c>
      <c r="AD63" s="1">
        <v>1.3248208613231063</v>
      </c>
      <c r="AE63" s="1">
        <v>1.6452729464612661</v>
      </c>
      <c r="AF63" s="1">
        <v>1.5371479413309661</v>
      </c>
      <c r="AG63" s="1">
        <v>2.4365964904302864</v>
      </c>
      <c r="AH63" s="1">
        <v>1.9038875715163563</v>
      </c>
      <c r="AI63" s="1">
        <v>2.793520317961546</v>
      </c>
      <c r="AJ63" s="1">
        <v>2.5564794901458558</v>
      </c>
      <c r="AK63" s="1">
        <v>3.394343997029666</v>
      </c>
      <c r="AL63" s="2">
        <v>1.9471395705434005</v>
      </c>
      <c r="AM63" s="2">
        <v>4.9353461251327007</v>
      </c>
      <c r="AN63" s="2">
        <v>2.3091373058440303</v>
      </c>
      <c r="AO63" s="2">
        <v>3.2240861348334504</v>
      </c>
      <c r="AP63" s="2">
        <v>0.74666361210197552</v>
      </c>
      <c r="AQ63" s="2">
        <v>0.60945124208621249</v>
      </c>
      <c r="AR63" s="2">
        <v>-0.27460391733361955</v>
      </c>
      <c r="AS63" s="2">
        <v>0.760166472828116</v>
      </c>
      <c r="AT63" s="2">
        <v>2.0393038254262206</v>
      </c>
      <c r="AU63" s="2">
        <v>1.7641111501739064</v>
      </c>
      <c r="AV63" s="2">
        <v>1.9351364329531204</v>
      </c>
      <c r="AW63" s="2">
        <v>1.9361940387372907</v>
      </c>
      <c r="AX63" s="2">
        <v>1.0221091601525845</v>
      </c>
      <c r="AY63" s="2">
        <v>1.9803575938257105</v>
      </c>
      <c r="AZ63" s="2">
        <v>1.2172709114505076</v>
      </c>
      <c r="BA63" s="2">
        <v>2.9933809911136908</v>
      </c>
      <c r="BB63" s="2">
        <v>2.8034893989278604</v>
      </c>
      <c r="BC63" s="2">
        <v>1.8489408230250004</v>
      </c>
      <c r="BD63" s="2">
        <v>3.0171280743537068</v>
      </c>
      <c r="BE63" s="2">
        <v>0.65623457446842648</v>
      </c>
      <c r="BF63" s="2">
        <v>2.9752655694674566</v>
      </c>
      <c r="BG63" s="2">
        <v>2.2766836471177005</v>
      </c>
      <c r="BH63" s="2">
        <v>1.1465573769864346</v>
      </c>
      <c r="BI63" s="2">
        <v>1.0827464944148946</v>
      </c>
      <c r="BJ63" s="2">
        <v>1.9259653798702505</v>
      </c>
      <c r="BK63" s="2">
        <v>3.2781226141178506</v>
      </c>
      <c r="BL63" s="2">
        <v>2.6321346085652704</v>
      </c>
      <c r="BM63" s="2">
        <v>2.0646723336021906</v>
      </c>
      <c r="BN63" s="2">
        <v>0.94212712393262699</v>
      </c>
      <c r="BO63" s="2">
        <v>1.1363467309226114</v>
      </c>
      <c r="BP63" s="2">
        <v>1.0718213847857836</v>
      </c>
      <c r="BQ63" s="2">
        <v>0.67692192029265152</v>
      </c>
      <c r="BR63" s="2">
        <v>2.7318595779666306</v>
      </c>
      <c r="BS63" s="2">
        <v>1.4393046615524074</v>
      </c>
      <c r="BT63" s="2">
        <v>2.1555865046421303</v>
      </c>
      <c r="BU63" s="2">
        <v>2.2241411587259603</v>
      </c>
      <c r="BV63" s="2">
        <v>1.9801681107881404</v>
      </c>
      <c r="BW63" s="2">
        <v>1.6868102699236056</v>
      </c>
      <c r="BY63">
        <f t="shared" si="6"/>
        <v>1.884508618723594</v>
      </c>
      <c r="BZ63">
        <f t="shared" si="7"/>
        <v>1.8657441839031288</v>
      </c>
      <c r="CA63">
        <f t="shared" si="8"/>
        <v>1.0130914677210128</v>
      </c>
      <c r="CB63">
        <f t="shared" si="9"/>
        <v>0.92898386776143527</v>
      </c>
      <c r="CC63">
        <f t="shared" si="10"/>
        <v>1.8764434820465095E-2</v>
      </c>
      <c r="CD63">
        <f t="shared" si="11"/>
        <v>3.1991827667307127E-2</v>
      </c>
      <c r="CE63" t="s">
        <v>100</v>
      </c>
      <c r="CH63" t="s">
        <v>117</v>
      </c>
      <c r="CI63">
        <v>-0.10122667715766319</v>
      </c>
      <c r="CJ63">
        <v>0.1657266224074794</v>
      </c>
    </row>
    <row r="64" spans="1:88" x14ac:dyDescent="0.2">
      <c r="A64" t="s">
        <v>101</v>
      </c>
      <c r="B64" s="1">
        <v>0.14960626429181073</v>
      </c>
      <c r="C64" s="1">
        <v>0.24131704390054873</v>
      </c>
      <c r="D64" s="1">
        <v>-0.28361834128276431</v>
      </c>
      <c r="E64" s="1">
        <v>-0.35689786276563729</v>
      </c>
      <c r="F64" s="1">
        <v>-1.3416379991120762</v>
      </c>
      <c r="G64" s="1">
        <v>-1.9498107223795762</v>
      </c>
      <c r="H64" s="1">
        <v>-1.4758745903395063</v>
      </c>
      <c r="I64" s="1">
        <v>-1.7075560246301362</v>
      </c>
      <c r="J64" s="1">
        <v>0.26337987424171294</v>
      </c>
      <c r="K64" s="1">
        <v>-0.41589375320825295</v>
      </c>
      <c r="L64" s="1">
        <v>-1.3587334587719739</v>
      </c>
      <c r="M64" s="1">
        <v>0.29330516151059111</v>
      </c>
      <c r="N64" s="1">
        <v>0.29741774245330371</v>
      </c>
      <c r="O64" s="1">
        <v>-9.2152096256251287E-2</v>
      </c>
      <c r="P64" s="1">
        <v>0.18440340160470572</v>
      </c>
      <c r="Q64" s="1">
        <v>-0.76774365020377822</v>
      </c>
      <c r="R64" s="1">
        <v>-2.573653641232116</v>
      </c>
      <c r="S64" s="1">
        <v>-0.30708459530993626</v>
      </c>
      <c r="T64" s="1">
        <v>-0.3441664201081453</v>
      </c>
      <c r="U64" s="1">
        <v>3.9138171942775399E-2</v>
      </c>
      <c r="V64" s="1">
        <v>-1.1066696475936362</v>
      </c>
      <c r="W64" s="1">
        <v>-0.10366946685710429</v>
      </c>
      <c r="X64" s="1">
        <v>0.83282061355936365</v>
      </c>
      <c r="Y64" s="1">
        <v>0.78159101170800982</v>
      </c>
      <c r="Z64" s="1">
        <v>-0.17092578134158187</v>
      </c>
      <c r="AA64" s="1">
        <v>0.45664561128917203</v>
      </c>
      <c r="AB64" s="1">
        <v>-0.70959120054547897</v>
      </c>
      <c r="AC64" s="1">
        <v>-0.98162996032780403</v>
      </c>
      <c r="AD64" s="1">
        <v>0.31488277455920161</v>
      </c>
      <c r="AE64" s="1">
        <v>-1.5340439708421039</v>
      </c>
      <c r="AF64" s="1">
        <v>-0.27161705904537886</v>
      </c>
      <c r="AG64" s="1">
        <v>-0.545322280862099</v>
      </c>
      <c r="AH64" s="1">
        <v>-0.61520996529717298</v>
      </c>
      <c r="AI64" s="1">
        <v>-1.1087440094722341</v>
      </c>
      <c r="AJ64" s="1">
        <v>-0.77928723427838387</v>
      </c>
      <c r="AK64" s="1">
        <v>-0.23351211771709784</v>
      </c>
      <c r="AL64" s="2">
        <v>-0.18282746741128575</v>
      </c>
      <c r="AM64" s="2">
        <v>-1.1509664067178227</v>
      </c>
      <c r="AN64" s="2">
        <v>0.24158011145402922</v>
      </c>
      <c r="AO64" s="2">
        <v>-0.41822174202223772</v>
      </c>
      <c r="AP64" s="2">
        <v>0.46720631743585617</v>
      </c>
      <c r="AQ64" s="2">
        <v>0.24708847940503723</v>
      </c>
      <c r="AR64" s="2">
        <v>0.17006023702843823</v>
      </c>
      <c r="AS64" s="2">
        <v>7.1714514706008231E-2</v>
      </c>
      <c r="AT64" s="2">
        <v>0.41026500993704618</v>
      </c>
      <c r="AU64" s="2">
        <v>0.6245084037260672</v>
      </c>
      <c r="AV64" s="2">
        <v>-0.45744560473233276</v>
      </c>
      <c r="AW64" s="2">
        <v>-1.2325121314411689</v>
      </c>
      <c r="AX64" s="2">
        <v>-1.7548296278111888</v>
      </c>
      <c r="AY64" s="2">
        <v>-0.76376956873995983</v>
      </c>
      <c r="AZ64" s="2">
        <v>-0.43390564010635679</v>
      </c>
      <c r="BA64" s="2">
        <v>-6.7060342017137564E-3</v>
      </c>
      <c r="BB64" s="2">
        <v>-0.99314514314340674</v>
      </c>
      <c r="BC64" s="2">
        <v>-1.2698537084407988</v>
      </c>
      <c r="BD64" s="2">
        <v>0.16455653429816602</v>
      </c>
      <c r="BE64" s="2">
        <v>-0.57665370022146278</v>
      </c>
      <c r="BF64" s="2">
        <v>-0.57451816225074404</v>
      </c>
      <c r="BG64" s="2">
        <v>-0.46069286667416776</v>
      </c>
      <c r="BH64" s="2">
        <v>-0.41902511108828377</v>
      </c>
      <c r="BI64" s="2">
        <v>-2.3360164639496386</v>
      </c>
      <c r="BJ64" s="2">
        <v>0.25924632186809227</v>
      </c>
      <c r="BK64" s="2">
        <v>-1.1198161336840557</v>
      </c>
      <c r="BL64" s="2">
        <v>-1.5671094147414588</v>
      </c>
      <c r="BM64" s="2">
        <v>-0.98211600261871879</v>
      </c>
      <c r="BN64" s="2">
        <v>6.5869435853509267E-2</v>
      </c>
      <c r="BO64" s="2">
        <v>0.12097323928704926</v>
      </c>
      <c r="BP64" s="2">
        <v>-0.71049864043831479</v>
      </c>
      <c r="BQ64" s="2">
        <v>0.21280885188139823</v>
      </c>
      <c r="BR64" s="2">
        <v>-1.1572609512700218</v>
      </c>
      <c r="BS64" s="2">
        <v>-0.35141084421452873</v>
      </c>
      <c r="BT64" s="2">
        <v>-0.15882281134711157</v>
      </c>
      <c r="BU64" s="2">
        <v>-1.1144483396295597</v>
      </c>
      <c r="BV64" s="2">
        <v>-0.75012575170914475</v>
      </c>
      <c r="BW64" s="2">
        <v>-0.12761188752312125</v>
      </c>
      <c r="BY64">
        <f t="shared" si="6"/>
        <v>-0.48001494940886197</v>
      </c>
      <c r="BZ64">
        <f t="shared" si="7"/>
        <v>-0.47406401840126078</v>
      </c>
      <c r="CA64">
        <f t="shared" si="8"/>
        <v>0.99588362454586976</v>
      </c>
      <c r="CB64">
        <f t="shared" si="9"/>
        <v>0.97248018651247836</v>
      </c>
      <c r="CC64">
        <f t="shared" si="10"/>
        <v>-5.9509310076011354E-3</v>
      </c>
      <c r="CD64">
        <f t="shared" si="11"/>
        <v>1.2119238306579678E-2</v>
      </c>
      <c r="CE64" t="s">
        <v>101</v>
      </c>
      <c r="CH64" t="s">
        <v>80</v>
      </c>
      <c r="CI64">
        <v>-0.18255654938343427</v>
      </c>
      <c r="CJ64">
        <v>0.1654808868599027</v>
      </c>
    </row>
    <row r="65" spans="1:88" x14ac:dyDescent="0.2">
      <c r="A65" t="s">
        <v>102</v>
      </c>
      <c r="B65" s="1">
        <v>8.8031640164261793E-2</v>
      </c>
      <c r="C65" s="1">
        <v>-0.16292401917065424</v>
      </c>
      <c r="D65" s="1">
        <v>2.9979546643519983</v>
      </c>
      <c r="E65" s="1">
        <v>2.3031611451094784</v>
      </c>
      <c r="F65" s="1">
        <v>0.6646753581413587</v>
      </c>
      <c r="G65" s="1">
        <v>1.6832396634901887</v>
      </c>
      <c r="H65" s="1">
        <v>1.4844828506571761E-2</v>
      </c>
      <c r="I65" s="1">
        <v>-0.11019650007279425</v>
      </c>
      <c r="J65" s="1">
        <v>1.6699515391314308</v>
      </c>
      <c r="K65" s="1">
        <v>1.686661355422443</v>
      </c>
      <c r="L65" s="1">
        <v>0.23572063024707368</v>
      </c>
      <c r="M65" s="1">
        <v>1.1011317799632607</v>
      </c>
      <c r="N65" s="1">
        <v>0.60449627604761869</v>
      </c>
      <c r="O65" s="1">
        <v>6.5785379544457401E-3</v>
      </c>
      <c r="P65" s="1">
        <v>3.0407118806632987</v>
      </c>
      <c r="Q65" s="1">
        <v>2.0026439776369784</v>
      </c>
      <c r="R65" s="1">
        <v>2.4100111709266887</v>
      </c>
      <c r="S65" s="1">
        <v>2.1941256772171487</v>
      </c>
      <c r="T65" s="1">
        <v>-0.16452106597416227</v>
      </c>
      <c r="U65" s="1">
        <v>0.49864269591524879</v>
      </c>
      <c r="V65" s="1">
        <v>1.0323537109802987</v>
      </c>
      <c r="W65" s="1">
        <v>7.1087398051083772E-2</v>
      </c>
      <c r="X65" s="1">
        <v>-0.64749317444345422</v>
      </c>
      <c r="Y65" s="1">
        <v>-0.32593465766273721</v>
      </c>
      <c r="Z65" s="1">
        <v>0.2132867683199427</v>
      </c>
      <c r="AA65" s="1">
        <v>0.54772030298553087</v>
      </c>
      <c r="AB65" s="1">
        <v>0.92000796507041471</v>
      </c>
      <c r="AC65" s="1">
        <v>0.90387413681853068</v>
      </c>
      <c r="AD65" s="1">
        <v>2.0407407993926108</v>
      </c>
      <c r="AE65" s="1">
        <v>0.80775935715959069</v>
      </c>
      <c r="AF65" s="1">
        <v>5.9470361048711895E-2</v>
      </c>
      <c r="AG65" s="1">
        <v>0.99177108109035061</v>
      </c>
      <c r="AH65" s="1">
        <v>1.0674303889803507</v>
      </c>
      <c r="AI65" s="1">
        <v>0.67178810474281869</v>
      </c>
      <c r="AJ65" s="1">
        <v>1.1007335685618407</v>
      </c>
      <c r="AK65" s="1">
        <v>1.4320765802711206</v>
      </c>
      <c r="AL65" s="2">
        <v>-0.23883382439805834</v>
      </c>
      <c r="AM65" s="2">
        <v>4.1899459109779258</v>
      </c>
      <c r="AN65" s="2">
        <v>1.0674729105007876</v>
      </c>
      <c r="AO65" s="2">
        <v>3.011880821902186</v>
      </c>
      <c r="AP65" s="2">
        <v>1.0787883189660046</v>
      </c>
      <c r="AQ65" s="2">
        <v>-0.60898992163729426</v>
      </c>
      <c r="AR65" s="2">
        <v>-0.66931723175176439</v>
      </c>
      <c r="AS65" s="2">
        <v>-0.10689357964658941</v>
      </c>
      <c r="AT65" s="2">
        <v>1.3344473345957086</v>
      </c>
      <c r="AU65" s="2">
        <v>0.45999715793899154</v>
      </c>
      <c r="AV65" s="2">
        <v>1.3031245513368805</v>
      </c>
      <c r="AW65" s="2">
        <v>1.2742728857304417</v>
      </c>
      <c r="AX65" s="2">
        <v>0.6799273879615706</v>
      </c>
      <c r="AY65" s="2">
        <v>0.88819923753584362</v>
      </c>
      <c r="AZ65" s="2">
        <v>0.77072588314603363</v>
      </c>
      <c r="BA65" s="2">
        <v>2.4576825305506453</v>
      </c>
      <c r="BB65" s="2">
        <v>2.5953014101817757</v>
      </c>
      <c r="BC65" s="2">
        <v>1.6842876085313956</v>
      </c>
      <c r="BD65" s="2">
        <v>1.606140360239015</v>
      </c>
      <c r="BE65" s="2">
        <v>-0.50797365178054443</v>
      </c>
      <c r="BF65" s="2">
        <v>1.5783745123671258</v>
      </c>
      <c r="BG65" s="2">
        <v>2.2443533438144856</v>
      </c>
      <c r="BH65" s="2">
        <v>0.5904134822990964</v>
      </c>
      <c r="BI65" s="2">
        <v>-0.15817302372219832</v>
      </c>
      <c r="BJ65" s="2">
        <v>2.0222371139655757</v>
      </c>
      <c r="BK65" s="2">
        <v>2.7244865148428552</v>
      </c>
      <c r="BL65" s="2">
        <v>1.7104379337603457</v>
      </c>
      <c r="BM65" s="2">
        <v>1.5933756499258256</v>
      </c>
      <c r="BN65" s="2">
        <v>0.39886175840672466</v>
      </c>
      <c r="BO65" s="2">
        <v>0.51853179488221424</v>
      </c>
      <c r="BP65" s="2">
        <v>0.55412461406404201</v>
      </c>
      <c r="BQ65" s="2">
        <v>0.91731713807511661</v>
      </c>
      <c r="BR65" s="2">
        <v>2.1458621180813857</v>
      </c>
      <c r="BS65" s="2">
        <v>0.7195863738410897</v>
      </c>
      <c r="BT65" s="2">
        <v>0.79231152758881662</v>
      </c>
      <c r="BU65" s="2">
        <v>-4.9233962457403413E-2</v>
      </c>
      <c r="BV65" s="2">
        <v>0.74245426506076662</v>
      </c>
      <c r="BW65" s="2">
        <v>1.8240624316991456</v>
      </c>
      <c r="BY65">
        <f t="shared" si="6"/>
        <v>0.93476705352885803</v>
      </c>
      <c r="BZ65">
        <f t="shared" si="7"/>
        <v>1.1352518338783149</v>
      </c>
      <c r="CA65">
        <f t="shared" si="8"/>
        <v>0.8702580864407603</v>
      </c>
      <c r="CB65">
        <f t="shared" si="9"/>
        <v>0.39771013673328726</v>
      </c>
      <c r="CC65">
        <f t="shared" si="10"/>
        <v>-0.20048478034945691</v>
      </c>
      <c r="CD65">
        <f t="shared" si="11"/>
        <v>0.40043333968732109</v>
      </c>
      <c r="CE65" t="s">
        <v>102</v>
      </c>
      <c r="CH65" t="s">
        <v>90</v>
      </c>
      <c r="CI65">
        <v>6.10892995677026E-2</v>
      </c>
      <c r="CJ65">
        <v>0.1649444852418985</v>
      </c>
    </row>
    <row r="66" spans="1:88" x14ac:dyDescent="0.2">
      <c r="A66" t="s">
        <v>103</v>
      </c>
      <c r="B66" s="1">
        <v>-0.64310363586000219</v>
      </c>
      <c r="C66" s="1">
        <v>-1.4571585978950861</v>
      </c>
      <c r="D66" s="1">
        <v>-0.78566274463867392</v>
      </c>
      <c r="E66" s="1">
        <v>-0.50209334073415723</v>
      </c>
      <c r="F66" s="1">
        <v>-1.3705807089290873</v>
      </c>
      <c r="G66" s="1">
        <v>-1.5924912813155851</v>
      </c>
      <c r="H66" s="1">
        <v>-1.5203819547385602</v>
      </c>
      <c r="I66" s="1">
        <v>-2.3227857704954413</v>
      </c>
      <c r="J66" s="1">
        <v>-1.2007360060317027</v>
      </c>
      <c r="K66" s="1">
        <v>-1.0253189960542486</v>
      </c>
      <c r="L66" s="1">
        <v>-2.5849259717390827</v>
      </c>
      <c r="M66" s="1">
        <v>-0.77732312174811868</v>
      </c>
      <c r="N66" s="1">
        <v>-0.6891713771387642</v>
      </c>
      <c r="O66" s="1">
        <v>-0.48136073273604818</v>
      </c>
      <c r="P66" s="1">
        <v>-1.4649074637490731</v>
      </c>
      <c r="Q66" s="1">
        <v>-2.3772859891723614</v>
      </c>
      <c r="R66" s="1">
        <v>-0.16316561963678822</v>
      </c>
      <c r="S66" s="1">
        <v>-0.93199928974363222</v>
      </c>
      <c r="T66" s="1">
        <v>-0.65949388991723712</v>
      </c>
      <c r="U66" s="1">
        <v>-1.7670263892018201</v>
      </c>
      <c r="V66" s="1">
        <v>-0.89065374387814855</v>
      </c>
      <c r="W66" s="1">
        <v>-2.3658797479029912</v>
      </c>
      <c r="X66" s="1">
        <v>-2.2186780404342112</v>
      </c>
      <c r="Y66" s="1">
        <v>-1.8629324309238111</v>
      </c>
      <c r="Z66" s="1">
        <v>-1.3212390836458527</v>
      </c>
      <c r="AA66" s="1">
        <v>-2.0983122008884485</v>
      </c>
      <c r="AB66" s="1">
        <v>-1.8934560572086527</v>
      </c>
      <c r="AC66" s="1">
        <v>-1.4550878912686227</v>
      </c>
      <c r="AD66" s="1">
        <v>-1.3652367039732727</v>
      </c>
      <c r="AE66" s="1">
        <v>-0.35422700805806762</v>
      </c>
      <c r="AF66" s="1">
        <v>-1.5515419493059626</v>
      </c>
      <c r="AG66" s="1">
        <v>-1.5220749462312426</v>
      </c>
      <c r="AH66" s="1">
        <v>-1.0438084888983146</v>
      </c>
      <c r="AI66" s="1">
        <v>-1.5639794129607427</v>
      </c>
      <c r="AJ66" s="1">
        <v>-1.7269358945563327</v>
      </c>
      <c r="AK66" s="1">
        <v>-1.0608632904911957</v>
      </c>
      <c r="AL66" s="2">
        <v>-1.4703216176509846</v>
      </c>
      <c r="AM66" s="2">
        <v>-0.46127109451480464</v>
      </c>
      <c r="AN66" s="2">
        <v>-1.6980908126345746</v>
      </c>
      <c r="AO66" s="2">
        <v>-1.0644237142188546</v>
      </c>
      <c r="AP66" s="2">
        <v>0.16087322741504928</v>
      </c>
      <c r="AQ66" s="2">
        <v>-0.94721140713377472</v>
      </c>
      <c r="AR66" s="2">
        <v>-0.24988701285816473</v>
      </c>
      <c r="AS66" s="2">
        <v>0.33155682303067335</v>
      </c>
      <c r="AT66" s="2">
        <v>-0.57171522805911468</v>
      </c>
      <c r="AU66" s="2">
        <v>-4.0244174557888646E-2</v>
      </c>
      <c r="AV66" s="2">
        <v>-1.9104947684262445</v>
      </c>
      <c r="AW66" s="2">
        <v>-2.8976065292176445</v>
      </c>
      <c r="AX66" s="2">
        <v>-0.64234230449552476</v>
      </c>
      <c r="AY66" s="2">
        <v>-1.9297087022906247</v>
      </c>
      <c r="AZ66" s="2">
        <v>-0.69684745583946461</v>
      </c>
      <c r="BA66" s="2">
        <v>-0.29644045706050459</v>
      </c>
      <c r="BB66" s="2">
        <v>-1.5318424124465346</v>
      </c>
      <c r="BC66" s="2">
        <v>-2.7384677585362649</v>
      </c>
      <c r="BD66" s="2">
        <v>-1.8572011866663187</v>
      </c>
      <c r="BE66" s="2">
        <v>-1.9823708743591146</v>
      </c>
      <c r="BF66" s="2">
        <v>-1.7527674632608687</v>
      </c>
      <c r="BG66" s="2">
        <v>-0.80070964396602462</v>
      </c>
      <c r="BH66" s="2">
        <v>-0.43513901467535465</v>
      </c>
      <c r="BI66" s="2">
        <v>-2.4507637367067847</v>
      </c>
      <c r="BJ66" s="2">
        <v>-0.14240645795367479</v>
      </c>
      <c r="BK66" s="2">
        <v>-0.7104676856233747</v>
      </c>
      <c r="BL66" s="2">
        <v>-2.7560174278044745</v>
      </c>
      <c r="BM66" s="2">
        <v>-1.3513657697231947</v>
      </c>
      <c r="BN66" s="2">
        <v>-2.2291198804308943</v>
      </c>
      <c r="BO66" s="2">
        <v>-1.8339845069762848</v>
      </c>
      <c r="BP66" s="2">
        <v>-2.2115696510345844</v>
      </c>
      <c r="BQ66" s="2">
        <v>-1.7866725870277949</v>
      </c>
      <c r="BR66" s="2">
        <v>-2.2889829634009047</v>
      </c>
      <c r="BS66" s="2">
        <v>-2.9644931751476449</v>
      </c>
      <c r="BT66" s="2">
        <v>0.53136935035994037</v>
      </c>
      <c r="BU66" s="2">
        <v>-1.4172396557843345</v>
      </c>
      <c r="BV66" s="2">
        <v>-2.6669854936728248</v>
      </c>
      <c r="BW66" s="2">
        <v>-0.8333317020567248</v>
      </c>
      <c r="BY66">
        <f t="shared" si="6"/>
        <v>-1.3503299936694817</v>
      </c>
      <c r="BZ66">
        <f t="shared" si="7"/>
        <v>-1.331439603300171</v>
      </c>
      <c r="CA66">
        <f t="shared" si="8"/>
        <v>0.98699153031741305</v>
      </c>
      <c r="CB66">
        <f t="shared" si="9"/>
        <v>0.92053817772043001</v>
      </c>
      <c r="CC66">
        <f t="shared" si="10"/>
        <v>-1.8890390369310665E-2</v>
      </c>
      <c r="CD66">
        <f t="shared" si="11"/>
        <v>3.5958195177903954E-2</v>
      </c>
      <c r="CE66" t="s">
        <v>103</v>
      </c>
      <c r="CH66" t="s">
        <v>61</v>
      </c>
      <c r="CI66">
        <v>0.12269340843181051</v>
      </c>
      <c r="CJ66">
        <v>0.16047384427018435</v>
      </c>
    </row>
    <row r="67" spans="1:88" x14ac:dyDescent="0.2">
      <c r="A67" t="s">
        <v>104</v>
      </c>
      <c r="B67" s="1">
        <v>0.137087144192449</v>
      </c>
      <c r="C67" s="1">
        <v>-0.63625081866143107</v>
      </c>
      <c r="D67" s="1">
        <v>-0.50678075415884605</v>
      </c>
      <c r="E67" s="1">
        <v>8.9163064253600988E-2</v>
      </c>
      <c r="F67" s="1">
        <v>1.0275156796334382</v>
      </c>
      <c r="G67" s="1">
        <v>-0.14100587626472599</v>
      </c>
      <c r="H67" s="1">
        <v>-0.37671583536329301</v>
      </c>
      <c r="I67" s="1">
        <v>-0.74636965143812595</v>
      </c>
      <c r="J67" s="1">
        <v>1.4151447696081942</v>
      </c>
      <c r="K67" s="1">
        <v>-0.42270395458838894</v>
      </c>
      <c r="L67" s="1">
        <v>-0.14496918907570655</v>
      </c>
      <c r="M67" s="1">
        <v>0.20397866290312749</v>
      </c>
      <c r="N67" s="1">
        <v>-1.2571977741231977E-2</v>
      </c>
      <c r="O67" s="1">
        <v>0.47830506817908702</v>
      </c>
      <c r="P67" s="1">
        <v>-1.807129653073102</v>
      </c>
      <c r="Q67" s="1">
        <v>-1.7040975996848018</v>
      </c>
      <c r="R67" s="1">
        <v>-1.5788956541212218</v>
      </c>
      <c r="S67" s="1">
        <v>1.2473519308546379</v>
      </c>
      <c r="T67" s="1">
        <v>0.26692894664107603</v>
      </c>
      <c r="U67" s="1">
        <v>-0.259760511330273</v>
      </c>
      <c r="V67" s="1">
        <v>-9.6656618640479919E-3</v>
      </c>
      <c r="W67" s="1">
        <v>0.58386046648790302</v>
      </c>
      <c r="X67" s="1">
        <v>0.29353071214489201</v>
      </c>
      <c r="Y67" s="1">
        <v>-0.10503352845781599</v>
      </c>
      <c r="Z67" s="1">
        <v>0.14773023716388844</v>
      </c>
      <c r="AA67" s="1">
        <v>-1.1397561075104949</v>
      </c>
      <c r="AB67" s="1">
        <v>-0.51270632184614406</v>
      </c>
      <c r="AC67" s="1">
        <v>-0.54780019897537036</v>
      </c>
      <c r="AD67" s="1">
        <v>-0.84986242477289753</v>
      </c>
      <c r="AE67" s="1">
        <v>-1.5079987621911255</v>
      </c>
      <c r="AF67" s="1">
        <v>-0.35993701968477343</v>
      </c>
      <c r="AG67" s="1">
        <v>2.4600336281601465E-2</v>
      </c>
      <c r="AH67" s="1">
        <v>-0.60668812206963452</v>
      </c>
      <c r="AI67" s="1">
        <v>-0.87475657724806155</v>
      </c>
      <c r="AJ67" s="1">
        <v>1.3922922960298343</v>
      </c>
      <c r="AK67" s="1">
        <v>2.2840376037821644</v>
      </c>
      <c r="AL67" s="2">
        <v>-0.37006035997227282</v>
      </c>
      <c r="AM67" s="2">
        <v>-0.63698526620570284</v>
      </c>
      <c r="AN67" s="2">
        <v>-0.26737590023163282</v>
      </c>
      <c r="AO67" s="2">
        <v>-7.3746357468538748E-2</v>
      </c>
      <c r="AP67" s="2">
        <v>-5.782098662665569E-2</v>
      </c>
      <c r="AQ67" s="2">
        <v>1.0073945618849882</v>
      </c>
      <c r="AR67" s="2">
        <v>-0.19070442833492274</v>
      </c>
      <c r="AS67" s="2">
        <v>-0.67716946929672284</v>
      </c>
      <c r="AT67" s="2">
        <v>0.16668321296589628</v>
      </c>
      <c r="AU67" s="2">
        <v>0.27698516778687421</v>
      </c>
      <c r="AV67" s="2">
        <v>-0.30572895627946284</v>
      </c>
      <c r="AW67" s="2">
        <v>-0.41976584434885267</v>
      </c>
      <c r="AX67" s="2">
        <v>-0.66187750607540263</v>
      </c>
      <c r="AY67" s="2">
        <v>0.29583019990990522</v>
      </c>
      <c r="AZ67" s="2">
        <v>-0.38324192127959267</v>
      </c>
      <c r="BA67" s="2">
        <v>-0.73835097510871284</v>
      </c>
      <c r="BB67" s="2">
        <v>-1.0513583695582129</v>
      </c>
      <c r="BC67" s="2">
        <v>-1.3980923265592327</v>
      </c>
      <c r="BD67" s="2">
        <v>-1.7368885851483939E-2</v>
      </c>
      <c r="BE67" s="2">
        <v>-1.2290306576272529</v>
      </c>
      <c r="BF67" s="2">
        <v>1.2177214406956052</v>
      </c>
      <c r="BG67" s="2">
        <v>-0.11181833896013571</v>
      </c>
      <c r="BH67" s="2">
        <v>-0.4577756803583527</v>
      </c>
      <c r="BI67" s="2">
        <v>-1.0815854599875125</v>
      </c>
      <c r="BJ67" s="2">
        <v>-0.46905806388765281</v>
      </c>
      <c r="BK67" s="2">
        <v>-0.46408961821376271</v>
      </c>
      <c r="BL67" s="2">
        <v>-1.1373760517757425</v>
      </c>
      <c r="BM67" s="2">
        <v>-1.6684248666437629</v>
      </c>
      <c r="BN67" s="2">
        <v>-0.52229463325566272</v>
      </c>
      <c r="BO67" s="2">
        <v>-6.1120299560568636E-4</v>
      </c>
      <c r="BP67" s="2">
        <v>-0.62592247094104281</v>
      </c>
      <c r="BQ67" s="2">
        <v>0.77472402837585697</v>
      </c>
      <c r="BR67" s="2">
        <v>-1.3586358471593529</v>
      </c>
      <c r="BS67" s="2">
        <v>-1.1130094852755326</v>
      </c>
      <c r="BT67" s="2">
        <v>1.1707452270076162</v>
      </c>
      <c r="BU67" s="2">
        <v>-0.26220268263255264</v>
      </c>
      <c r="BV67" s="2">
        <v>0.31632501817839032</v>
      </c>
      <c r="BW67" s="2">
        <v>0.9584783475698182</v>
      </c>
      <c r="BY67">
        <f t="shared" si="6"/>
        <v>-0.14610914672126721</v>
      </c>
      <c r="BZ67">
        <f t="shared" si="7"/>
        <v>-0.3043840896983257</v>
      </c>
      <c r="CA67">
        <f t="shared" si="8"/>
        <v>1.1159519756682204</v>
      </c>
      <c r="CB67">
        <f t="shared" si="9"/>
        <v>0.40664064464701055</v>
      </c>
      <c r="CC67">
        <f t="shared" si="10"/>
        <v>0.15827494297705835</v>
      </c>
      <c r="CD67">
        <f t="shared" si="11"/>
        <v>0.39078921481819573</v>
      </c>
      <c r="CE67" t="s">
        <v>104</v>
      </c>
      <c r="CH67" t="s">
        <v>88</v>
      </c>
      <c r="CI67">
        <v>8.0088780886558159E-2</v>
      </c>
      <c r="CJ67">
        <v>0.15744139872857685</v>
      </c>
    </row>
    <row r="68" spans="1:88" x14ac:dyDescent="0.2">
      <c r="A68" t="s">
        <v>105</v>
      </c>
      <c r="B68" s="1">
        <v>1.196861010168929</v>
      </c>
      <c r="C68" s="1">
        <v>0.9664441922436291</v>
      </c>
      <c r="D68" s="1">
        <v>0.78942502760788891</v>
      </c>
      <c r="E68" s="1">
        <v>0.54921951370549893</v>
      </c>
      <c r="F68" s="1">
        <v>4.4694894372825988</v>
      </c>
      <c r="G68" s="1">
        <v>5.2833290425258195</v>
      </c>
      <c r="H68" s="1">
        <v>4.6136131544623282</v>
      </c>
      <c r="I68" s="1">
        <v>4.7359290197720387</v>
      </c>
      <c r="J68" s="1">
        <v>6.5558889007954591</v>
      </c>
      <c r="K68" s="1">
        <v>4.2731359453048112</v>
      </c>
      <c r="L68" s="1">
        <v>2.9794158889463684</v>
      </c>
      <c r="M68" s="1">
        <v>3.820686780553888</v>
      </c>
      <c r="N68" s="1">
        <v>3.5759463724403893</v>
      </c>
      <c r="O68" s="1">
        <v>4.4789853177614791</v>
      </c>
      <c r="P68" s="1">
        <v>0.17363950346078894</v>
      </c>
      <c r="Q68" s="1">
        <v>-1.080382075093403</v>
      </c>
      <c r="R68" s="1">
        <v>-1.5178008104617513</v>
      </c>
      <c r="S68" s="1">
        <v>2.1659026202198191</v>
      </c>
      <c r="T68" s="1">
        <v>1.049771635614519</v>
      </c>
      <c r="U68" s="1">
        <v>2.5039038106479494</v>
      </c>
      <c r="V68" s="1">
        <v>4.7384823291763194</v>
      </c>
      <c r="W68" s="1">
        <v>2.4971704143527087</v>
      </c>
      <c r="X68" s="1">
        <v>4.1463502394662086</v>
      </c>
      <c r="Y68" s="1">
        <v>2.7298064914835991</v>
      </c>
      <c r="Z68" s="1">
        <v>1.1034294410293584</v>
      </c>
      <c r="AA68" s="1">
        <v>3.3389983779158214</v>
      </c>
      <c r="AB68" s="1">
        <v>1.7677794685313382</v>
      </c>
      <c r="AC68" s="1">
        <v>3.9841646733048584</v>
      </c>
      <c r="AD68" s="1">
        <v>0.29804580493818822</v>
      </c>
      <c r="AE68" s="1">
        <v>1.2427723139560385</v>
      </c>
      <c r="AF68" s="1">
        <v>2.6948333811834684</v>
      </c>
      <c r="AG68" s="1">
        <v>6.5250617433548985</v>
      </c>
      <c r="AH68" s="1">
        <v>3.4613897277829682</v>
      </c>
      <c r="AI68" s="1">
        <v>4.3807274024582288</v>
      </c>
      <c r="AJ68" s="1">
        <v>1.3472240808997382</v>
      </c>
      <c r="AK68" s="1">
        <v>4.0856760301097879</v>
      </c>
      <c r="AL68" s="2">
        <v>2.3609934797359107</v>
      </c>
      <c r="AM68" s="2">
        <v>3.0178809361198464</v>
      </c>
      <c r="AN68" s="2">
        <v>2.7005656413131227</v>
      </c>
      <c r="AO68" s="2">
        <v>2.1111889597036249</v>
      </c>
      <c r="AP68" s="2">
        <v>2.7780660735587404</v>
      </c>
      <c r="AQ68" s="2">
        <v>3.7140353004086224</v>
      </c>
      <c r="AR68" s="2">
        <v>4.1737451509308325</v>
      </c>
      <c r="AS68" s="2">
        <v>0.35552023255111243</v>
      </c>
      <c r="AT68" s="2">
        <v>1.1928970780249726</v>
      </c>
      <c r="AU68" s="2">
        <v>3.3686513431043625</v>
      </c>
      <c r="AV68" s="2">
        <v>3.0937007241673284</v>
      </c>
      <c r="AW68" s="2">
        <v>2.7327146462261274</v>
      </c>
      <c r="AX68" s="2">
        <v>1.7393720843133766</v>
      </c>
      <c r="AY68" s="2">
        <v>2.0527756417317926</v>
      </c>
      <c r="AZ68" s="2">
        <v>1.1219832901204225</v>
      </c>
      <c r="BA68" s="2">
        <v>4.6022571110686927</v>
      </c>
      <c r="BB68" s="2">
        <v>1.6245482754710645</v>
      </c>
      <c r="BC68" s="2">
        <v>0.4711679235805426</v>
      </c>
      <c r="BD68" s="2">
        <v>1.7142823948935515</v>
      </c>
      <c r="BE68" s="2">
        <v>3.5637099901158025</v>
      </c>
      <c r="BF68" s="2">
        <v>1.5755617673047715</v>
      </c>
      <c r="BG68" s="2">
        <v>2.9785308455397388</v>
      </c>
      <c r="BH68" s="2">
        <v>2.0672080067505307</v>
      </c>
      <c r="BI68" s="2">
        <v>1.2566028368296045</v>
      </c>
      <c r="BJ68" s="2">
        <v>2.3735696994792614</v>
      </c>
      <c r="BK68" s="2">
        <v>2.1406197121704316</v>
      </c>
      <c r="BL68" s="2">
        <v>1.2423907594063666</v>
      </c>
      <c r="BM68" s="2">
        <v>1.8742001844609186</v>
      </c>
      <c r="BN68" s="2">
        <v>3.1095958605392617</v>
      </c>
      <c r="BO68" s="2">
        <v>2.7139917151376123</v>
      </c>
      <c r="BP68" s="2">
        <v>0.95047972118886248</v>
      </c>
      <c r="BQ68" s="2">
        <v>2.2561845788199579</v>
      </c>
      <c r="BR68" s="2">
        <v>0.26122719357665258</v>
      </c>
      <c r="BS68" s="2">
        <v>1.0687829704204925</v>
      </c>
      <c r="BT68" s="2">
        <v>0.13137845093391265</v>
      </c>
      <c r="BU68" s="2">
        <v>3.0259857820718046</v>
      </c>
      <c r="BV68" s="2">
        <v>1.3913854624444464</v>
      </c>
      <c r="BW68" s="2">
        <v>2.3367505801781174</v>
      </c>
      <c r="BY68">
        <f t="shared" si="6"/>
        <v>2.7757032279972944</v>
      </c>
      <c r="BZ68">
        <f t="shared" si="7"/>
        <v>2.1380132211682259</v>
      </c>
      <c r="CA68">
        <f t="shared" si="8"/>
        <v>1.5558360133195315</v>
      </c>
      <c r="CB68">
        <f t="shared" si="9"/>
        <v>9.2944000229224277E-2</v>
      </c>
      <c r="CC68">
        <f t="shared" si="10"/>
        <v>0.6376900068290684</v>
      </c>
      <c r="CD68">
        <f t="shared" si="11"/>
        <v>1.0317786397967623</v>
      </c>
      <c r="CE68" t="s">
        <v>105</v>
      </c>
      <c r="CH68" t="s">
        <v>69</v>
      </c>
      <c r="CI68">
        <v>5.0382520270414864E-2</v>
      </c>
      <c r="CJ68">
        <v>0.1339418391648505</v>
      </c>
    </row>
    <row r="69" spans="1:88" x14ac:dyDescent="0.2">
      <c r="A69" t="s">
        <v>106</v>
      </c>
      <c r="B69" s="1">
        <v>2.3539913003599731</v>
      </c>
      <c r="C69" s="1">
        <v>0.88611850111493262</v>
      </c>
      <c r="D69" s="1">
        <v>-0.12035595775033267</v>
      </c>
      <c r="E69" s="1">
        <v>0.22313279212991971</v>
      </c>
      <c r="F69" s="1">
        <v>-1.8883964288322874</v>
      </c>
      <c r="G69" s="1">
        <v>-1.9057697542003973</v>
      </c>
      <c r="H69" s="1" t="s">
        <v>67</v>
      </c>
      <c r="I69" s="1">
        <v>-1.5300906101418472</v>
      </c>
      <c r="J69" s="1">
        <v>-0.68298604346102743</v>
      </c>
      <c r="K69" s="1">
        <v>-0.70650442403082914</v>
      </c>
      <c r="L69" s="1">
        <v>1.8811196212198447</v>
      </c>
      <c r="M69" s="1">
        <v>0.80007039140810443</v>
      </c>
      <c r="N69" s="1">
        <v>-0.62672948993085331</v>
      </c>
      <c r="O69" s="1">
        <v>-0.93093059060864936</v>
      </c>
      <c r="P69" s="1">
        <v>1.5515019868077526</v>
      </c>
      <c r="Q69" s="1">
        <v>-2.1158439145512773</v>
      </c>
      <c r="R69" s="1">
        <v>-3.0828242024271471</v>
      </c>
      <c r="S69" s="1">
        <v>-1.6188002755355673</v>
      </c>
      <c r="T69" s="1">
        <v>-0.65387349501442726</v>
      </c>
      <c r="U69" s="1">
        <v>-1.3597925863636773</v>
      </c>
      <c r="V69" s="1">
        <v>1.6496611435388726</v>
      </c>
      <c r="W69" s="1">
        <v>-1.4477037527997874</v>
      </c>
      <c r="X69" s="1" t="s">
        <v>67</v>
      </c>
      <c r="Y69" s="1">
        <v>-0.71686833828824925</v>
      </c>
      <c r="Z69" s="1">
        <v>-0.24200819761103035</v>
      </c>
      <c r="AA69" s="1">
        <v>-0.78354346123382923</v>
      </c>
      <c r="AB69" s="1">
        <v>0.3291544895925736</v>
      </c>
      <c r="AC69" s="1">
        <v>-0.12833150344510413</v>
      </c>
      <c r="AD69" s="1">
        <v>-0.56358141873597845</v>
      </c>
      <c r="AE69" s="1">
        <v>0.46415883285094256</v>
      </c>
      <c r="AF69" s="1">
        <v>-0.50278026335850046</v>
      </c>
      <c r="AG69" s="1">
        <v>-1.6427770327215254</v>
      </c>
      <c r="AH69" s="1">
        <v>-1.4159138101454556</v>
      </c>
      <c r="AI69" s="1">
        <v>-0.59992593990846543</v>
      </c>
      <c r="AJ69" s="1">
        <v>1.1995300387075645</v>
      </c>
      <c r="AK69" s="1">
        <v>1.6917970173828345</v>
      </c>
      <c r="AL69" s="2">
        <v>-0.38107543382088438</v>
      </c>
      <c r="AM69" s="2">
        <v>-0.13729207930486237</v>
      </c>
      <c r="AN69" s="2" t="s">
        <v>67</v>
      </c>
      <c r="AO69" s="2">
        <v>-0.16373807556433734</v>
      </c>
      <c r="AP69" s="2" t="s">
        <v>67</v>
      </c>
      <c r="AQ69" s="2">
        <v>-2.2146749256194358</v>
      </c>
      <c r="AR69" s="2">
        <v>0.23849759981359564</v>
      </c>
      <c r="AS69" s="2">
        <v>0.41408174198985864</v>
      </c>
      <c r="AT69" s="2">
        <v>-1.3520797720964353</v>
      </c>
      <c r="AU69" s="2">
        <v>-0.39669758630616436</v>
      </c>
      <c r="AV69" s="2">
        <v>-2.0331920913561952</v>
      </c>
      <c r="AW69" s="2">
        <v>-2.9088999158768551</v>
      </c>
      <c r="AX69" s="2">
        <v>-1.5308386653825354</v>
      </c>
      <c r="AY69" s="2">
        <v>-1.4149543644589353</v>
      </c>
      <c r="AZ69" s="2">
        <v>1.1671052442019447</v>
      </c>
      <c r="BA69" s="2">
        <v>-1.0846435417433853</v>
      </c>
      <c r="BB69" s="2">
        <v>-1.6137466516889554</v>
      </c>
      <c r="BC69" s="2">
        <v>-1.8665788043588651</v>
      </c>
      <c r="BD69" s="2">
        <v>-0.48512986084248422</v>
      </c>
      <c r="BE69" s="2" t="s">
        <v>67</v>
      </c>
      <c r="BF69" s="2">
        <v>1.6795717142398507</v>
      </c>
      <c r="BG69" s="2">
        <v>0.71984649875325268</v>
      </c>
      <c r="BH69" s="2">
        <v>0.11483853592969165</v>
      </c>
      <c r="BI69" s="2">
        <v>-0.78562239078608531</v>
      </c>
      <c r="BJ69" s="2">
        <v>-0.74062484994720545</v>
      </c>
      <c r="BK69" s="2">
        <v>-1.9369573526247754</v>
      </c>
      <c r="BL69" s="2">
        <v>-1.3259911276068854</v>
      </c>
      <c r="BM69" s="2">
        <v>-1.4844124118313753</v>
      </c>
      <c r="BN69" s="2">
        <v>1.0049544132996566</v>
      </c>
      <c r="BO69" s="2">
        <v>-2.1352478268048554</v>
      </c>
      <c r="BP69" s="2">
        <v>-2.0622159356627057</v>
      </c>
      <c r="BQ69" s="2" t="s">
        <v>67</v>
      </c>
      <c r="BR69" s="2">
        <v>-1.9370889677953256</v>
      </c>
      <c r="BS69" s="2">
        <v>-2.0062230481008454</v>
      </c>
      <c r="BT69" s="2">
        <v>0.70722769897618265</v>
      </c>
      <c r="BU69" s="2">
        <v>-0.67720613349724434</v>
      </c>
      <c r="BV69" s="2">
        <v>0.7545730018790886</v>
      </c>
      <c r="BW69" s="2">
        <v>-1.0269884015746353</v>
      </c>
      <c r="BY69">
        <f t="shared" si="6"/>
        <v>-0.359885158117145</v>
      </c>
      <c r="BZ69">
        <f t="shared" si="7"/>
        <v>-0.79121834604615149</v>
      </c>
      <c r="CA69">
        <f t="shared" si="8"/>
        <v>1.3484791247036576</v>
      </c>
      <c r="CB69">
        <f t="shared" si="9"/>
        <v>0.15276804407247638</v>
      </c>
      <c r="CC69">
        <f t="shared" si="10"/>
        <v>0.4313331879290066</v>
      </c>
      <c r="CD69">
        <f t="shared" si="11"/>
        <v>0.81596748171852151</v>
      </c>
      <c r="CE69" t="s">
        <v>106</v>
      </c>
      <c r="CH69" t="s">
        <v>112</v>
      </c>
      <c r="CI69">
        <v>5.9709825942147229E-2</v>
      </c>
      <c r="CJ69">
        <v>0.12941001122371504</v>
      </c>
    </row>
    <row r="70" spans="1:88" x14ac:dyDescent="0.2">
      <c r="A70" t="s">
        <v>107</v>
      </c>
      <c r="B70" s="1">
        <v>1.277172673620901</v>
      </c>
      <c r="C70" s="1">
        <v>3.2321333480893313</v>
      </c>
      <c r="D70" s="1">
        <v>4.5649102440282903</v>
      </c>
      <c r="E70" s="1">
        <v>4.6573507710774003</v>
      </c>
      <c r="F70" s="1">
        <v>4.4076163325027711</v>
      </c>
      <c r="G70" s="1">
        <v>4.4697413327038902</v>
      </c>
      <c r="H70" s="1">
        <v>5.4636896955498813</v>
      </c>
      <c r="I70" s="1">
        <v>4.0747238782786308</v>
      </c>
      <c r="J70" s="1">
        <v>5.976671612478281</v>
      </c>
      <c r="K70" s="1">
        <v>5.3597412115010723</v>
      </c>
      <c r="L70" s="1">
        <v>5.3605921654499511</v>
      </c>
      <c r="M70" s="1">
        <v>4.2922041956878605</v>
      </c>
      <c r="N70" s="1">
        <v>3.7310653502201405</v>
      </c>
      <c r="O70" s="1">
        <v>3.2344839644904808</v>
      </c>
      <c r="P70" s="1">
        <v>5.1242996871775617</v>
      </c>
      <c r="Q70" s="1">
        <v>4.2256094446234602</v>
      </c>
      <c r="R70" s="1">
        <v>3.4175484818784807</v>
      </c>
      <c r="S70" s="1">
        <v>3.0439103972650909</v>
      </c>
      <c r="T70" s="1">
        <v>3.8882123249724008</v>
      </c>
      <c r="U70" s="1">
        <v>2.5212915404230407</v>
      </c>
      <c r="V70" s="1">
        <v>5.4570268004319509</v>
      </c>
      <c r="W70" s="1">
        <v>2.0304911657906111</v>
      </c>
      <c r="X70" s="1">
        <v>4.720416525747801</v>
      </c>
      <c r="Y70" s="1">
        <v>4.1855591022072218</v>
      </c>
      <c r="Z70" s="1">
        <v>1.6653448606264103</v>
      </c>
      <c r="AA70" s="1">
        <v>3.6099080079354424</v>
      </c>
      <c r="AB70" s="1">
        <v>3.7703299004986106</v>
      </c>
      <c r="AC70" s="1">
        <v>4.3384824068524104</v>
      </c>
      <c r="AD70" s="1">
        <v>3.5913191432199603</v>
      </c>
      <c r="AE70" s="1">
        <v>3.9896579928766802</v>
      </c>
      <c r="AF70" s="1">
        <v>5.542691400558331</v>
      </c>
      <c r="AG70" s="1">
        <v>7.2638785843649103</v>
      </c>
      <c r="AH70" s="1">
        <v>5.2204834353044909</v>
      </c>
      <c r="AI70" s="1">
        <v>5.2467179342610599</v>
      </c>
      <c r="AJ70" s="1">
        <v>5.1045192870332805</v>
      </c>
      <c r="AK70" s="1">
        <v>3.9380101893756101</v>
      </c>
      <c r="AL70" s="2">
        <v>5.162412585959558</v>
      </c>
      <c r="AM70" s="2">
        <v>5.9795371342731389</v>
      </c>
      <c r="AN70" s="2">
        <v>6.3880004994937787</v>
      </c>
      <c r="AO70" s="2">
        <v>5.2929888933149085</v>
      </c>
      <c r="AP70" s="2">
        <v>1.6477609353446807</v>
      </c>
      <c r="AQ70" s="2">
        <v>1.7088551155526666</v>
      </c>
      <c r="AR70" s="2">
        <v>0.63386340414351161</v>
      </c>
      <c r="AS70" s="2">
        <v>3.9191485877806587</v>
      </c>
      <c r="AT70" s="2">
        <v>3.1832639818234587</v>
      </c>
      <c r="AU70" s="2">
        <v>1.5524966222551033</v>
      </c>
      <c r="AV70" s="2">
        <v>6.4585068649467985</v>
      </c>
      <c r="AW70" s="2">
        <v>6.3692086046782483</v>
      </c>
      <c r="AX70" s="2">
        <v>2.6338974613466486</v>
      </c>
      <c r="AY70" s="2">
        <v>2.9996864447523985</v>
      </c>
      <c r="AZ70" s="2">
        <v>6.5331025276625985</v>
      </c>
      <c r="BA70" s="2">
        <v>3.8267783397962387</v>
      </c>
      <c r="BB70" s="2">
        <v>5.633933184096569</v>
      </c>
      <c r="BC70" s="2">
        <v>7.0754385563597282</v>
      </c>
      <c r="BD70" s="2">
        <v>4.220031622999052</v>
      </c>
      <c r="BE70" s="2">
        <v>2.1601395116818787</v>
      </c>
      <c r="BF70" s="2">
        <v>3.5996822407819424</v>
      </c>
      <c r="BG70" s="2">
        <v>5.5937678756588287</v>
      </c>
      <c r="BH70" s="2">
        <v>2.8182994690932688</v>
      </c>
      <c r="BI70" s="2">
        <v>3.8891638083852085</v>
      </c>
      <c r="BJ70" s="2">
        <v>3.0277665370952187</v>
      </c>
      <c r="BK70" s="2">
        <v>4.9067981405304391</v>
      </c>
      <c r="BL70" s="2">
        <v>6.1884434906313288</v>
      </c>
      <c r="BM70" s="2">
        <v>6.0415531530674285</v>
      </c>
      <c r="BN70" s="2">
        <v>2.7971213914111486</v>
      </c>
      <c r="BO70" s="2">
        <v>2.1574114494608527</v>
      </c>
      <c r="BP70" s="2">
        <v>4.9509878818840285</v>
      </c>
      <c r="BQ70" s="2">
        <v>4.9193130412051289</v>
      </c>
      <c r="BR70" s="2">
        <v>3.9231545218559587</v>
      </c>
      <c r="BS70" s="2">
        <v>6.345427701699359</v>
      </c>
      <c r="BT70" s="2">
        <v>2.1224201815241237</v>
      </c>
      <c r="BU70" s="2">
        <v>2.2187891272476294</v>
      </c>
      <c r="BV70" s="2">
        <v>1.2949335192302016</v>
      </c>
      <c r="BW70" s="2">
        <v>2.6697730747319088</v>
      </c>
      <c r="BY70">
        <f t="shared" si="6"/>
        <v>4.222161260808436</v>
      </c>
      <c r="BZ70">
        <f t="shared" si="7"/>
        <v>4.0222067758883044</v>
      </c>
      <c r="CA70">
        <f t="shared" si="8"/>
        <v>1.1486621156871539</v>
      </c>
      <c r="CB70">
        <f t="shared" si="9"/>
        <v>0.57728385434666318</v>
      </c>
      <c r="CC70">
        <f t="shared" si="10"/>
        <v>0.19995448492013146</v>
      </c>
      <c r="CD70">
        <f t="shared" si="11"/>
        <v>0.23861058881386926</v>
      </c>
      <c r="CE70" t="s">
        <v>107</v>
      </c>
      <c r="CH70" t="s">
        <v>74</v>
      </c>
      <c r="CI70">
        <v>4.6921369352317298E-2</v>
      </c>
      <c r="CJ70">
        <v>0.12505280852194625</v>
      </c>
    </row>
    <row r="71" spans="1:88" x14ac:dyDescent="0.2">
      <c r="A71" t="s">
        <v>108</v>
      </c>
      <c r="B71" s="1">
        <v>-6.0382863527725178E-2</v>
      </c>
      <c r="C71" s="1">
        <v>-0.81379427557391315</v>
      </c>
      <c r="D71" s="1">
        <v>0.10748250864352282</v>
      </c>
      <c r="E71" s="1">
        <v>-0.56328114947534713</v>
      </c>
      <c r="F71" s="1">
        <v>-1.0278765528072022</v>
      </c>
      <c r="G71" s="1">
        <v>-3.1705368987134914</v>
      </c>
      <c r="H71" s="1">
        <v>-0.70333988875685116</v>
      </c>
      <c r="I71" s="1">
        <v>-1.837965714825001</v>
      </c>
      <c r="J71" s="1">
        <v>-1.3909080762665891</v>
      </c>
      <c r="K71" s="1">
        <v>-0.78757596388164774</v>
      </c>
      <c r="L71" s="1">
        <v>-0.41856816707432898</v>
      </c>
      <c r="M71" s="1">
        <v>-1.508484331794679</v>
      </c>
      <c r="N71" s="1">
        <v>0.28074037465285084</v>
      </c>
      <c r="O71" s="1">
        <v>-0.71693214499108515</v>
      </c>
      <c r="P71" s="1">
        <v>-1.121925944088324</v>
      </c>
      <c r="Q71" s="1">
        <v>-1.0194299257542601</v>
      </c>
      <c r="R71" s="1">
        <v>-0.29070974718412795</v>
      </c>
      <c r="S71" s="1">
        <v>-1.0725212342184181</v>
      </c>
      <c r="T71" s="1">
        <v>-0.56427909422467415</v>
      </c>
      <c r="U71" s="1">
        <v>-1.0499084537829551</v>
      </c>
      <c r="V71" s="1">
        <v>-0.17869824057472686</v>
      </c>
      <c r="W71" s="1">
        <v>-1.4515635222973411</v>
      </c>
      <c r="X71" s="1">
        <v>-1.9143806350848713</v>
      </c>
      <c r="Y71" s="1">
        <v>-1.6518989048050212</v>
      </c>
      <c r="Z71" s="1">
        <v>-0.82570368758342894</v>
      </c>
      <c r="AA71" s="1">
        <v>-0.6350169583655576</v>
      </c>
      <c r="AB71" s="1">
        <v>-0.43739723481555304</v>
      </c>
      <c r="AC71" s="1">
        <v>-1.032518880632479</v>
      </c>
      <c r="AD71" s="1">
        <v>-1.1667216530153091</v>
      </c>
      <c r="AE71" s="1">
        <v>-0.55266743155933806</v>
      </c>
      <c r="AF71" s="1">
        <v>-0.25264291794215299</v>
      </c>
      <c r="AG71" s="1">
        <v>0.13802724734144597</v>
      </c>
      <c r="AH71" s="1">
        <v>0.31987454667827075</v>
      </c>
      <c r="AI71" s="1">
        <v>-0.656922321933054</v>
      </c>
      <c r="AJ71" s="1">
        <v>-0.72542363756782502</v>
      </c>
      <c r="AK71" s="1">
        <v>-0.96859156456810891</v>
      </c>
      <c r="AL71" s="2">
        <v>-1.3656333037589081</v>
      </c>
      <c r="AM71" s="2">
        <v>-0.16247561100815983</v>
      </c>
      <c r="AN71" s="2">
        <v>-0.72334734594572614</v>
      </c>
      <c r="AO71" s="2">
        <v>-0.71132408109968315</v>
      </c>
      <c r="AP71" s="2">
        <v>-0.98851661644124011</v>
      </c>
      <c r="AQ71" s="2">
        <v>0.39552791570019186</v>
      </c>
      <c r="AR71" s="2">
        <v>-0.83219366989297816</v>
      </c>
      <c r="AS71" s="2">
        <v>-0.68589868192864312</v>
      </c>
      <c r="AT71" s="2">
        <v>-0.84358056069312715</v>
      </c>
      <c r="AU71" s="2">
        <v>-0.45784284650750612</v>
      </c>
      <c r="AV71" s="2">
        <v>-0.6960685283457182</v>
      </c>
      <c r="AW71" s="2">
        <v>-0.91775632585147515</v>
      </c>
      <c r="AX71" s="2">
        <v>-0.39213911365097814</v>
      </c>
      <c r="AY71" s="2">
        <v>-0.14284398135927553</v>
      </c>
      <c r="AZ71" s="2">
        <v>-0.39184078099765013</v>
      </c>
      <c r="BA71" s="2">
        <v>-6.140525135970612E-2</v>
      </c>
      <c r="BB71" s="2">
        <v>-0.74900127320975718</v>
      </c>
      <c r="BC71" s="2">
        <v>-1.3671282073573281</v>
      </c>
      <c r="BD71" s="2">
        <v>-0.55379213691046769</v>
      </c>
      <c r="BE71" s="2">
        <v>-1.7171822727504182</v>
      </c>
      <c r="BF71" s="2">
        <v>4.4011299970233564E-3</v>
      </c>
      <c r="BG71" s="2">
        <v>-0.72038602930740614</v>
      </c>
      <c r="BH71" s="2">
        <v>-0.39408154503334614</v>
      </c>
      <c r="BI71" s="2">
        <v>-0.55809033994011414</v>
      </c>
      <c r="BJ71" s="2">
        <v>6.696824414611785E-2</v>
      </c>
      <c r="BK71" s="2">
        <v>-0.44416180163165414</v>
      </c>
      <c r="BL71" s="2">
        <v>-1.751371687384448</v>
      </c>
      <c r="BM71" s="2">
        <v>-0.99855592669956417</v>
      </c>
      <c r="BN71" s="2">
        <v>-0.49621001126114112</v>
      </c>
      <c r="BO71" s="2">
        <v>-1.8265181614061581</v>
      </c>
      <c r="BP71" s="2">
        <v>0.27456636937956685</v>
      </c>
      <c r="BQ71" s="2">
        <v>-0.8074518888214951</v>
      </c>
      <c r="BR71" s="2">
        <v>-1.8712332850844982</v>
      </c>
      <c r="BS71" s="2">
        <v>-1.4994051806653381</v>
      </c>
      <c r="BT71" s="2">
        <v>-0.69071408375007415</v>
      </c>
      <c r="BU71" s="2">
        <v>-1.1129923846459051</v>
      </c>
      <c r="BV71" s="2">
        <v>-0.44183562653474312</v>
      </c>
      <c r="BW71" s="2">
        <v>-1.634382680452608</v>
      </c>
      <c r="BY71">
        <f t="shared" si="6"/>
        <v>-0.82562342612136919</v>
      </c>
      <c r="BZ71">
        <f t="shared" si="7"/>
        <v>-0.74383940953853533</v>
      </c>
      <c r="CA71">
        <f t="shared" si="8"/>
        <v>0.94488848805511994</v>
      </c>
      <c r="CB71">
        <f t="shared" si="9"/>
        <v>0.58289011659620504</v>
      </c>
      <c r="CC71">
        <f t="shared" si="10"/>
        <v>-8.1784016582833782E-2</v>
      </c>
      <c r="CD71">
        <f t="shared" si="11"/>
        <v>0.23441330845499361</v>
      </c>
      <c r="CE71" t="s">
        <v>108</v>
      </c>
      <c r="CH71" t="s">
        <v>78</v>
      </c>
      <c r="CI71">
        <v>3.4672488108599589E-2</v>
      </c>
      <c r="CJ71">
        <v>0.10931974914827332</v>
      </c>
    </row>
    <row r="72" spans="1:88" x14ac:dyDescent="0.2">
      <c r="A72" t="s">
        <v>109</v>
      </c>
      <c r="B72" s="1">
        <v>8.8749733922007912E-2</v>
      </c>
      <c r="C72" s="1">
        <v>-0.32208314446933439</v>
      </c>
      <c r="D72" s="1">
        <v>-1.4652839641356201</v>
      </c>
      <c r="E72" s="1">
        <v>-1.5868841445812001</v>
      </c>
      <c r="F72" s="1">
        <v>-0.3439821735806215</v>
      </c>
      <c r="G72" s="1">
        <v>0.25111378963040287</v>
      </c>
      <c r="H72" s="1">
        <v>1.6879026716867198</v>
      </c>
      <c r="I72" s="1">
        <v>0.44004362488494186</v>
      </c>
      <c r="J72" s="1">
        <v>0.20098087548998878</v>
      </c>
      <c r="K72" s="1">
        <v>-0.81134677017023116</v>
      </c>
      <c r="L72" s="1">
        <v>0.70707583003098284</v>
      </c>
      <c r="M72" s="1">
        <v>0.47344543058385091</v>
      </c>
      <c r="N72" s="1">
        <v>-0.34145362154803999</v>
      </c>
      <c r="O72" s="1">
        <v>0.38597602612708293</v>
      </c>
      <c r="P72" s="1">
        <v>-1.2705241077217502</v>
      </c>
      <c r="Q72" s="1">
        <v>-1.8411873696634502</v>
      </c>
      <c r="R72" s="1">
        <v>-1.18124619313584</v>
      </c>
      <c r="S72" s="1">
        <v>-0.39879996551882912</v>
      </c>
      <c r="T72" s="1">
        <v>-0.26935759534675285</v>
      </c>
      <c r="U72" s="1">
        <v>-1.5700967470818089E-2</v>
      </c>
      <c r="V72" s="1">
        <v>0.40315080334065989</v>
      </c>
      <c r="W72" s="1">
        <v>0.3525783155352169</v>
      </c>
      <c r="X72" s="1">
        <v>-0.30875492242509228</v>
      </c>
      <c r="Y72" s="1">
        <v>-0.74094883476888218</v>
      </c>
      <c r="Z72" s="1">
        <v>-0.22866832573564613</v>
      </c>
      <c r="AA72" s="1">
        <v>0.53651259906339477</v>
      </c>
      <c r="AB72" s="1">
        <v>0.35996488604584287</v>
      </c>
      <c r="AC72" s="1">
        <v>-0.67945933427077909</v>
      </c>
      <c r="AD72" s="1">
        <v>0.54798105413428388</v>
      </c>
      <c r="AE72" s="1">
        <v>-0.59459971362762409</v>
      </c>
      <c r="AF72" s="1">
        <v>0.22961879981938288</v>
      </c>
      <c r="AG72" s="1">
        <v>-9.4035865331340146E-2</v>
      </c>
      <c r="AH72" s="1">
        <v>1.4262592810659878</v>
      </c>
      <c r="AI72" s="1">
        <v>1.0389810948750959</v>
      </c>
      <c r="AJ72" s="1">
        <v>-3.1846644814209124E-2</v>
      </c>
      <c r="AK72" s="1">
        <v>0.34860912610469885</v>
      </c>
      <c r="AL72" s="2">
        <v>-0.80926978359617507</v>
      </c>
      <c r="AM72" s="2">
        <v>-0.23725274119341414</v>
      </c>
      <c r="AN72" s="2">
        <v>-0.29474105941313711</v>
      </c>
      <c r="AO72" s="2">
        <v>-0.38233267500998813</v>
      </c>
      <c r="AP72" s="2">
        <v>1.5127668379132058</v>
      </c>
      <c r="AQ72" s="2">
        <v>-1.2398193768707128E-2</v>
      </c>
      <c r="AR72" s="2">
        <v>2.722750165122706E-2</v>
      </c>
      <c r="AS72" s="2">
        <v>-0.16365981289713613</v>
      </c>
      <c r="AT72" s="2">
        <v>-1.0560868873914442</v>
      </c>
      <c r="AU72" s="2">
        <v>0.55953286441154482</v>
      </c>
      <c r="AV72" s="2">
        <v>-0.4247901431334381</v>
      </c>
      <c r="AW72" s="2">
        <v>-0.57303321082930914</v>
      </c>
      <c r="AX72" s="2">
        <v>-0.17420361266271014</v>
      </c>
      <c r="AY72" s="2">
        <v>9.546836117064246E-2</v>
      </c>
      <c r="AZ72" s="2">
        <v>-0.83681891098775707</v>
      </c>
      <c r="BA72" s="2">
        <v>0.45723040155207584</v>
      </c>
      <c r="BB72" s="2">
        <v>-0.10921589737072415</v>
      </c>
      <c r="BC72" s="2">
        <v>-0.92748333897402413</v>
      </c>
      <c r="BD72" s="2">
        <v>-1.0436481078268023</v>
      </c>
      <c r="BE72" s="2">
        <v>-0.79538109954681613</v>
      </c>
      <c r="BF72" s="2">
        <v>-0.49082788513988718</v>
      </c>
      <c r="BG72" s="2">
        <v>-0.23422529908344816</v>
      </c>
      <c r="BH72" s="2">
        <v>-0.11411601701582114</v>
      </c>
      <c r="BI72" s="2">
        <v>-0.53504472149137017</v>
      </c>
      <c r="BJ72" s="2">
        <v>0.30235970144647184</v>
      </c>
      <c r="BK72" s="2">
        <v>-0.16087961408049214</v>
      </c>
      <c r="BL72" s="2">
        <v>-0.73240573901032313</v>
      </c>
      <c r="BM72" s="2">
        <v>0.64009911105699091</v>
      </c>
      <c r="BN72" s="2">
        <v>0.42664662148516586</v>
      </c>
      <c r="BO72" s="2">
        <v>-0.78256979747134614</v>
      </c>
      <c r="BP72" s="2">
        <v>-0.35142204818391409</v>
      </c>
      <c r="BQ72" s="2">
        <v>-0.15195172227588313</v>
      </c>
      <c r="BR72" s="2">
        <v>-1.3044111462704042</v>
      </c>
      <c r="BS72" s="2">
        <v>-0.54756925299094816</v>
      </c>
      <c r="BT72" s="2">
        <v>0.18558805244028126</v>
      </c>
      <c r="BU72" s="2">
        <v>-0.5238933595384021</v>
      </c>
      <c r="BV72" s="2">
        <v>0.81268924856769487</v>
      </c>
      <c r="BW72" s="2">
        <v>0.13278115673137866</v>
      </c>
      <c r="BY72">
        <f t="shared" si="6"/>
        <v>-8.4644992110431055E-2</v>
      </c>
      <c r="BZ72">
        <f t="shared" si="7"/>
        <v>-0.22676953207176689</v>
      </c>
      <c r="CA72">
        <f t="shared" si="8"/>
        <v>1.1035289975447744</v>
      </c>
      <c r="CB72">
        <f t="shared" si="9"/>
        <v>0.38287621037958963</v>
      </c>
      <c r="CC72">
        <f t="shared" si="10"/>
        <v>0.14212453996133573</v>
      </c>
      <c r="CD72">
        <f t="shared" si="11"/>
        <v>0.41694161725596596</v>
      </c>
      <c r="CE72" t="s">
        <v>109</v>
      </c>
      <c r="CH72" t="s">
        <v>116</v>
      </c>
      <c r="CI72">
        <v>6.6129520679122936E-2</v>
      </c>
      <c r="CJ72">
        <v>9.7967927970295188E-2</v>
      </c>
    </row>
    <row r="73" spans="1:88" x14ac:dyDescent="0.2">
      <c r="A73" t="s">
        <v>110</v>
      </c>
      <c r="B73" s="1">
        <v>-1.1890840100638733</v>
      </c>
      <c r="C73" s="1">
        <v>-0.72652347320735622</v>
      </c>
      <c r="D73" s="1">
        <v>-1.5421048502301933</v>
      </c>
      <c r="E73" s="1">
        <v>-1.0878764993891412</v>
      </c>
      <c r="F73" s="1">
        <v>-0.87091153019206624</v>
      </c>
      <c r="G73" s="1">
        <v>0.58110443732948669</v>
      </c>
      <c r="H73" s="1">
        <v>-0.22496901254864185</v>
      </c>
      <c r="I73" s="1">
        <v>-1.0322214954687783</v>
      </c>
      <c r="J73" s="1">
        <v>1.111695099175344</v>
      </c>
      <c r="K73" s="1">
        <v>-0.95637415814811333</v>
      </c>
      <c r="L73" s="1">
        <v>1.1320169895782741</v>
      </c>
      <c r="M73" s="1">
        <v>0.28957741160907013</v>
      </c>
      <c r="N73" s="1">
        <v>1.1360244074764367</v>
      </c>
      <c r="O73" s="1">
        <v>0.91766118184425682</v>
      </c>
      <c r="P73" s="1">
        <v>-1.7122772056689233</v>
      </c>
      <c r="Q73" s="1">
        <v>-2.338278774596553</v>
      </c>
      <c r="R73" s="1">
        <v>-3.2515608672810137</v>
      </c>
      <c r="S73" s="1">
        <v>-0.32736545866228428</v>
      </c>
      <c r="T73" s="1">
        <v>-6.1251571916441261E-2</v>
      </c>
      <c r="U73" s="1">
        <v>-0.66334666123098029</v>
      </c>
      <c r="V73" s="1">
        <v>-2.1689268477883132</v>
      </c>
      <c r="W73" s="1">
        <v>-1.7293917541309232</v>
      </c>
      <c r="X73" s="1">
        <v>0.92397087991178672</v>
      </c>
      <c r="Y73" s="1">
        <v>-1.2352712451194432</v>
      </c>
      <c r="Z73" s="1">
        <v>-1.6232786993476018</v>
      </c>
      <c r="AA73" s="1">
        <v>-1.1224472146317834</v>
      </c>
      <c r="AB73" s="1">
        <v>-1.5693662432594988</v>
      </c>
      <c r="AC73" s="1">
        <v>-1.6384722120571928</v>
      </c>
      <c r="AD73" s="1">
        <v>-2.0150783127115659</v>
      </c>
      <c r="AE73" s="1">
        <v>-2.1490725229583059</v>
      </c>
      <c r="AF73" s="1">
        <v>0.21899803897573311</v>
      </c>
      <c r="AG73" s="1">
        <v>2.6402623209989944</v>
      </c>
      <c r="AH73" s="1">
        <v>-3.0907769664523759</v>
      </c>
      <c r="AI73" s="1">
        <v>1.5216893588345741</v>
      </c>
      <c r="AJ73" s="1">
        <v>0.51003244104824419</v>
      </c>
      <c r="AK73" s="1">
        <v>-1.0374655118656739</v>
      </c>
      <c r="AL73" s="2">
        <v>-0.80437354470993427</v>
      </c>
      <c r="AM73" s="2">
        <v>-0.69437481771068432</v>
      </c>
      <c r="AN73" s="2">
        <v>-0.95136550607578418</v>
      </c>
      <c r="AO73" s="2">
        <v>9.8525260410320725E-2</v>
      </c>
      <c r="AP73" s="2">
        <v>-0.95738372983231423</v>
      </c>
      <c r="AQ73" s="2">
        <v>-0.23791071938777231</v>
      </c>
      <c r="AR73" s="2">
        <v>-0.42721084232752427</v>
      </c>
      <c r="AS73" s="2">
        <v>-1.4565566294922943</v>
      </c>
      <c r="AT73" s="2">
        <v>-0.38631787442351428</v>
      </c>
      <c r="AU73" s="2">
        <v>-0.44646711768433422</v>
      </c>
      <c r="AV73" s="2">
        <v>2.5827874545955698E-2</v>
      </c>
      <c r="AW73" s="2">
        <v>-0.60808230276118436</v>
      </c>
      <c r="AX73" s="2">
        <v>-0.57050587112545426</v>
      </c>
      <c r="AY73" s="2">
        <v>-0.50244135534613421</v>
      </c>
      <c r="AZ73" s="2">
        <v>-1.5402128477178043</v>
      </c>
      <c r="BA73" s="2">
        <v>-1.0402477597575643</v>
      </c>
      <c r="BB73" s="2">
        <v>-0.80929803396454436</v>
      </c>
      <c r="BC73" s="2">
        <v>-1.8676327734095941</v>
      </c>
      <c r="BD73" s="2">
        <v>-1.5957172244403433</v>
      </c>
      <c r="BE73" s="2">
        <v>-1.7355984458258842</v>
      </c>
      <c r="BF73" s="2">
        <v>0.65245098602500295</v>
      </c>
      <c r="BG73" s="2">
        <v>-0.6438057004393043</v>
      </c>
      <c r="BH73" s="2">
        <v>-0.44691471113794434</v>
      </c>
      <c r="BI73" s="2">
        <v>-0.64536719469879422</v>
      </c>
      <c r="BJ73" s="2">
        <v>-1.0983041854684343</v>
      </c>
      <c r="BK73" s="2">
        <v>-0.41642786306928437</v>
      </c>
      <c r="BL73" s="2">
        <v>-0.9711283823639143</v>
      </c>
      <c r="BM73" s="2">
        <v>-1.9568421572084045</v>
      </c>
      <c r="BN73" s="2">
        <v>-0.9449989971547843</v>
      </c>
      <c r="BO73" s="2">
        <v>-1.4829836118136943</v>
      </c>
      <c r="BP73" s="2">
        <v>-1.1896379117241942</v>
      </c>
      <c r="BQ73" s="2">
        <v>-0.61736838817912432</v>
      </c>
      <c r="BR73" s="2">
        <v>-1.2011848264930043</v>
      </c>
      <c r="BS73" s="2">
        <v>-1.3664015401871643</v>
      </c>
      <c r="BT73" s="2">
        <v>-1.3993561685661842</v>
      </c>
      <c r="BU73" s="2">
        <v>-0.95637463625402419</v>
      </c>
      <c r="BV73" s="2">
        <v>-1.3347337695216444</v>
      </c>
      <c r="BW73" s="2">
        <v>-0.28569841795766326</v>
      </c>
      <c r="BY73">
        <f t="shared" si="6"/>
        <v>-0.67724057033735641</v>
      </c>
      <c r="BZ73">
        <f t="shared" si="7"/>
        <v>-0.86348478255918282</v>
      </c>
      <c r="CA73">
        <f t="shared" si="8"/>
        <v>1.1377978123116683</v>
      </c>
      <c r="CB73">
        <f t="shared" si="9"/>
        <v>0.44950793682905554</v>
      </c>
      <c r="CC73">
        <f t="shared" si="10"/>
        <v>0.18624421222182652</v>
      </c>
      <c r="CD73">
        <f t="shared" si="11"/>
        <v>0.34726263565348475</v>
      </c>
      <c r="CE73" t="s">
        <v>110</v>
      </c>
      <c r="CH73" t="s">
        <v>111</v>
      </c>
      <c r="CI73">
        <v>-6.3132692569281584E-2</v>
      </c>
      <c r="CJ73">
        <v>9.7570987000327722E-2</v>
      </c>
    </row>
    <row r="74" spans="1:88" x14ac:dyDescent="0.2">
      <c r="A74" t="s">
        <v>111</v>
      </c>
      <c r="B74" s="1">
        <v>8.4590935473461526E-2</v>
      </c>
      <c r="C74" s="1">
        <v>1.4218267004843226</v>
      </c>
      <c r="D74" s="1">
        <v>1.5708760626920726</v>
      </c>
      <c r="E74" s="1">
        <v>-1.7976090032072474</v>
      </c>
      <c r="F74" s="1">
        <v>-0.9453635155335024</v>
      </c>
      <c r="G74" s="1">
        <v>0.12698078041301752</v>
      </c>
      <c r="H74" s="1">
        <v>1.7463995780209525</v>
      </c>
      <c r="I74" s="1">
        <v>1.4005459217111025</v>
      </c>
      <c r="J74" s="1">
        <v>-1.6067696740804716</v>
      </c>
      <c r="K74" s="1">
        <v>-0.166775530574377</v>
      </c>
      <c r="L74" s="1">
        <v>1.7111875393274583</v>
      </c>
      <c r="M74" s="1">
        <v>0.51352908425116284</v>
      </c>
      <c r="N74" s="1">
        <v>0.77854875687866265</v>
      </c>
      <c r="O74" s="1">
        <v>0.55543353992221156</v>
      </c>
      <c r="P74" s="1">
        <v>0.54428356100270159</v>
      </c>
      <c r="Q74" s="1">
        <v>0.85644455299135247</v>
      </c>
      <c r="R74" s="1">
        <v>1.6815435407318124</v>
      </c>
      <c r="S74" s="1">
        <v>-0.12706202765111746</v>
      </c>
      <c r="T74" s="1">
        <v>-0.17645913717618744</v>
      </c>
      <c r="U74" s="1">
        <v>0.50468520339607159</v>
      </c>
      <c r="V74" s="1">
        <v>0.67897610470576253</v>
      </c>
      <c r="W74" s="1">
        <v>0.85540303168462262</v>
      </c>
      <c r="X74" s="1">
        <v>-1.0449801169250634</v>
      </c>
      <c r="Y74" s="1">
        <v>-0.45485355883532852</v>
      </c>
      <c r="Z74" s="1">
        <v>1.1061490208820302E-2</v>
      </c>
      <c r="AA74" s="1">
        <v>0.77560268547031885</v>
      </c>
      <c r="AB74" s="1">
        <v>0.53735373642272988</v>
      </c>
      <c r="AC74" s="1">
        <v>-1.4368469940355677E-2</v>
      </c>
      <c r="AD74" s="1">
        <v>0.75909756368404424</v>
      </c>
      <c r="AE74" s="1">
        <v>-0.10087151744064871</v>
      </c>
      <c r="AF74" s="1">
        <v>4.5020120495676181</v>
      </c>
      <c r="AG74" s="1">
        <v>-0.86469566474234183</v>
      </c>
      <c r="AH74" s="1">
        <v>1.2608636615041193</v>
      </c>
      <c r="AI74" s="1">
        <v>-0.4741329086326318</v>
      </c>
      <c r="AJ74" s="1">
        <v>-8.9689522306698688E-2</v>
      </c>
      <c r="AK74" s="1">
        <v>-0.32247669228190068</v>
      </c>
      <c r="AL74" s="2">
        <v>0.76209724953233371</v>
      </c>
      <c r="AM74" s="2">
        <v>-0.84030011613982225</v>
      </c>
      <c r="AN74" s="2">
        <v>1.8962828367558335</v>
      </c>
      <c r="AO74" s="2">
        <v>0.32077606961345373</v>
      </c>
      <c r="AP74" s="2">
        <v>-0.3399995559412663</v>
      </c>
      <c r="AQ74" s="2">
        <v>0.48727393474627567</v>
      </c>
      <c r="AR74" s="2">
        <v>-0.34536421840339027</v>
      </c>
      <c r="AS74" s="2">
        <v>1.0491721253146737</v>
      </c>
      <c r="AT74" s="2">
        <v>0.27098703660393475</v>
      </c>
      <c r="AU74" s="2">
        <v>-0.10895839992045225</v>
      </c>
      <c r="AV74" s="2">
        <v>2.4201230158406339</v>
      </c>
      <c r="AW74" s="2">
        <v>2.176559260117604</v>
      </c>
      <c r="AX74" s="2">
        <v>0.55157934319814372</v>
      </c>
      <c r="AY74" s="2">
        <v>0.15667338554140775</v>
      </c>
      <c r="AZ74" s="2">
        <v>0.57807473150108368</v>
      </c>
      <c r="BA74" s="2">
        <v>0.56257789447261364</v>
      </c>
      <c r="BB74" s="2">
        <v>-0.18473982480470025</v>
      </c>
      <c r="BC74" s="2">
        <v>1.4021963332202436</v>
      </c>
      <c r="BD74" s="2">
        <v>0.56895511213999894</v>
      </c>
      <c r="BE74" s="2">
        <v>-0.14487802282029028</v>
      </c>
      <c r="BF74" s="2">
        <v>0.33329098232795495</v>
      </c>
      <c r="BG74" s="2">
        <v>1.9584951246768936</v>
      </c>
      <c r="BH74" s="2">
        <v>0.52593944285601568</v>
      </c>
      <c r="BI74" s="2">
        <v>2.0748749175673709E-2</v>
      </c>
      <c r="BJ74" s="2">
        <v>-0.32421185768180227</v>
      </c>
      <c r="BK74" s="2">
        <v>-0.65162268685835523</v>
      </c>
      <c r="BL74" s="2">
        <v>2.8764866417461636</v>
      </c>
      <c r="BM74" s="2">
        <v>0.63551937173320372</v>
      </c>
      <c r="BN74" s="2">
        <v>0.16406816194794172</v>
      </c>
      <c r="BO74" s="2">
        <v>-0.49715699129577978</v>
      </c>
      <c r="BP74" s="2">
        <v>1.7524666933250839</v>
      </c>
      <c r="BQ74" s="2">
        <v>1.9692757077044136</v>
      </c>
      <c r="BR74" s="2">
        <v>-0.62529461925576324</v>
      </c>
      <c r="BS74" s="2">
        <v>-0.99896367345512727</v>
      </c>
      <c r="BT74" s="2">
        <v>-1.8286953793252847E-3</v>
      </c>
      <c r="BU74" s="2">
        <v>-0.42010926828521455</v>
      </c>
      <c r="BV74" s="2">
        <v>0.48384373201104969</v>
      </c>
      <c r="BW74" s="2">
        <v>-0.53367957250009734</v>
      </c>
      <c r="BY74">
        <f t="shared" si="6"/>
        <v>0.40808718725601456</v>
      </c>
      <c r="BZ74">
        <f t="shared" si="7"/>
        <v>0.47121987982529612</v>
      </c>
      <c r="CA74">
        <f t="shared" si="8"/>
        <v>0.95718341674206242</v>
      </c>
      <c r="CB74">
        <f t="shared" si="9"/>
        <v>0.79878336697230057</v>
      </c>
      <c r="CC74">
        <f t="shared" si="10"/>
        <v>-6.3132692569281584E-2</v>
      </c>
      <c r="CD74">
        <f t="shared" si="11"/>
        <v>9.7570987000327722E-2</v>
      </c>
      <c r="CE74" t="s">
        <v>111</v>
      </c>
      <c r="CH74" t="s">
        <v>103</v>
      </c>
      <c r="CI74">
        <v>-1.8890390369310665E-2</v>
      </c>
      <c r="CJ74">
        <v>3.5958195177903954E-2</v>
      </c>
    </row>
    <row r="75" spans="1:88" x14ac:dyDescent="0.2">
      <c r="A75" t="s">
        <v>112</v>
      </c>
      <c r="B75" s="1">
        <v>-0.43542916129944786</v>
      </c>
      <c r="C75" s="1">
        <v>-6.734735928861485E-2</v>
      </c>
      <c r="D75" s="1">
        <v>-1.2717031900600468</v>
      </c>
      <c r="E75" s="1">
        <v>-1.013860588746037</v>
      </c>
      <c r="F75" s="1">
        <v>2.1818057399626629</v>
      </c>
      <c r="G75" s="1">
        <v>1.3756607067986333</v>
      </c>
      <c r="H75" s="1">
        <v>-0.24137440294824886</v>
      </c>
      <c r="I75" s="1">
        <v>-0.81457598011261678</v>
      </c>
      <c r="J75" s="1">
        <v>-2.280321743022109</v>
      </c>
      <c r="K75" s="1">
        <v>-0.73550309842243289</v>
      </c>
      <c r="L75" s="1">
        <v>-1.1407209807305789</v>
      </c>
      <c r="M75" s="1">
        <v>-0.93171920737832892</v>
      </c>
      <c r="N75" s="1">
        <v>-0.73775795446120185</v>
      </c>
      <c r="O75" s="1">
        <v>-1.0707795794676267</v>
      </c>
      <c r="P75" s="1">
        <v>-1.5512462773407569</v>
      </c>
      <c r="Q75" s="1">
        <v>-0.88496329933494688</v>
      </c>
      <c r="R75" s="1">
        <v>-0.42823133323949691</v>
      </c>
      <c r="S75" s="1">
        <v>-1.345055531939737</v>
      </c>
      <c r="T75" s="1">
        <v>2.0730639990937432</v>
      </c>
      <c r="U75" s="1">
        <v>-0.70651107356297083</v>
      </c>
      <c r="V75" s="1">
        <v>-0.64943002835261188</v>
      </c>
      <c r="W75" s="1">
        <v>-1.1648870320570071</v>
      </c>
      <c r="X75" s="1">
        <v>-1.0953074071316267</v>
      </c>
      <c r="Y75" s="1">
        <v>-1.0973426013690171</v>
      </c>
      <c r="Z75" s="1">
        <v>1.3990076878929003E-2</v>
      </c>
      <c r="AA75" s="1">
        <v>-0.87709836097344096</v>
      </c>
      <c r="AB75" s="1">
        <v>-0.45811767431772599</v>
      </c>
      <c r="AC75" s="1">
        <v>-0.37526853500163304</v>
      </c>
      <c r="AD75" s="1">
        <v>-0.73379630033813892</v>
      </c>
      <c r="AE75" s="1">
        <v>-1.0200767436350291</v>
      </c>
      <c r="AF75" s="1">
        <v>-0.87376729396918895</v>
      </c>
      <c r="AG75" s="1">
        <v>1.3418536162237309</v>
      </c>
      <c r="AH75" s="1">
        <v>-1.1306140682322989</v>
      </c>
      <c r="AI75" s="1">
        <v>-0.87114666222848891</v>
      </c>
      <c r="AJ75" s="1">
        <v>-2.3470457924709391</v>
      </c>
      <c r="AK75" s="1">
        <v>-1.7763284805056392</v>
      </c>
      <c r="AL75" s="2">
        <v>-0.62266665722567827</v>
      </c>
      <c r="AM75" s="2">
        <v>-0.71699230984270323</v>
      </c>
      <c r="AN75" s="2">
        <v>-0.56521795643989881</v>
      </c>
      <c r="AO75" s="2">
        <v>-1.2794582306212994</v>
      </c>
      <c r="AP75" s="2">
        <v>-1.1381939464668183</v>
      </c>
      <c r="AQ75" s="2">
        <v>-1.4486056796635371</v>
      </c>
      <c r="AR75" s="2">
        <v>-1.5049574981756382</v>
      </c>
      <c r="AS75" s="2">
        <v>-1.0101277130199371</v>
      </c>
      <c r="AT75" s="2">
        <v>-1.1754007774162361</v>
      </c>
      <c r="AU75" s="2">
        <v>9.4027403299972834E-2</v>
      </c>
      <c r="AV75" s="2">
        <v>-0.2472731864812962</v>
      </c>
      <c r="AW75" s="2">
        <v>-0.86380081006278719</v>
      </c>
      <c r="AX75" s="2">
        <v>-0.6863946640396672</v>
      </c>
      <c r="AY75" s="2">
        <v>-0.45267565082662509</v>
      </c>
      <c r="AZ75" s="2">
        <v>-1.1321468189761053</v>
      </c>
      <c r="BA75" s="2">
        <v>-0.19957135789463221</v>
      </c>
      <c r="BB75" s="2">
        <v>-0.17734129449031621</v>
      </c>
      <c r="BC75" s="2">
        <v>0.14099622779736276</v>
      </c>
      <c r="BD75" s="2">
        <v>-0.48571093799450393</v>
      </c>
      <c r="BE75" s="2">
        <v>-0.77271931583034115</v>
      </c>
      <c r="BF75" s="2">
        <v>-0.6432432296076569</v>
      </c>
      <c r="BG75" s="2">
        <v>-0.70586389709307618</v>
      </c>
      <c r="BH75" s="2">
        <v>-0.62241731287962121</v>
      </c>
      <c r="BI75" s="2">
        <v>-1.4552695454875753</v>
      </c>
      <c r="BJ75" s="2">
        <v>-0.67210600196293824</v>
      </c>
      <c r="BK75" s="2">
        <v>-0.11198223545910418</v>
      </c>
      <c r="BL75" s="2">
        <v>-0.58807744342071022</v>
      </c>
      <c r="BM75" s="2">
        <v>-0.31109691063395717</v>
      </c>
      <c r="BN75" s="2">
        <v>-0.73990875542564227</v>
      </c>
      <c r="BO75" s="2">
        <v>-0.91449767889350519</v>
      </c>
      <c r="BP75" s="2">
        <v>-0.96813066012448523</v>
      </c>
      <c r="BQ75" s="2">
        <v>-1.1274074741319722</v>
      </c>
      <c r="BR75" s="2">
        <v>-0.27127692948703419</v>
      </c>
      <c r="BS75" s="2">
        <v>-4.8208012588448201E-2</v>
      </c>
      <c r="BT75" s="2">
        <v>-0.5851710853956722</v>
      </c>
      <c r="BU75" s="2">
        <v>-0.97566129050316819</v>
      </c>
      <c r="BV75" s="2">
        <v>-0.65259649067157122</v>
      </c>
      <c r="BW75" s="2">
        <v>-1.0583893941439642</v>
      </c>
      <c r="BY75">
        <f t="shared" si="6"/>
        <v>-0.64280426674945235</v>
      </c>
      <c r="BZ75">
        <f t="shared" si="7"/>
        <v>-0.7025140926915997</v>
      </c>
      <c r="CA75">
        <f t="shared" si="8"/>
        <v>1.0422561073160197</v>
      </c>
      <c r="CB75">
        <f t="shared" si="9"/>
        <v>0.74231799515175101</v>
      </c>
      <c r="CC75">
        <f t="shared" si="10"/>
        <v>5.9709825942147229E-2</v>
      </c>
      <c r="CD75">
        <f t="shared" si="11"/>
        <v>0.12941001122371504</v>
      </c>
      <c r="CE75" t="s">
        <v>112</v>
      </c>
      <c r="CH75" t="s">
        <v>100</v>
      </c>
      <c r="CI75">
        <v>1.8764434820465095E-2</v>
      </c>
      <c r="CJ75">
        <v>3.1991827667307127E-2</v>
      </c>
    </row>
    <row r="76" spans="1:88" x14ac:dyDescent="0.2">
      <c r="A76" t="s">
        <v>113</v>
      </c>
      <c r="B76" s="1">
        <v>0.42446038844158729</v>
      </c>
      <c r="C76" s="1">
        <v>5.2885446321413607E-2</v>
      </c>
      <c r="D76" s="1">
        <v>-0.97540497737995369</v>
      </c>
      <c r="E76" s="1">
        <v>-1.1400209475511636</v>
      </c>
      <c r="F76" s="1">
        <v>0.46813751353105032</v>
      </c>
      <c r="G76" s="1">
        <v>-0.90367638325001864</v>
      </c>
      <c r="H76" s="1">
        <v>-0.11905578254574969</v>
      </c>
      <c r="I76" s="1">
        <v>-0.37637164240793369</v>
      </c>
      <c r="J76" s="1">
        <v>-1.2394453440948021</v>
      </c>
      <c r="K76" s="1">
        <v>-0.43500163238037565</v>
      </c>
      <c r="L76" s="1">
        <v>-0.674520253768365</v>
      </c>
      <c r="M76" s="1">
        <v>-0.92990806735039211</v>
      </c>
      <c r="N76" s="1">
        <v>2.6877622790718161</v>
      </c>
      <c r="O76" s="1">
        <v>0.44564664775168428</v>
      </c>
      <c r="P76" s="1">
        <v>-1.2301010235702337</v>
      </c>
      <c r="Q76" s="1">
        <v>-1.5705638092597738</v>
      </c>
      <c r="R76" s="1">
        <v>-1.3030213653627638</v>
      </c>
      <c r="S76" s="1">
        <v>-0.97504208737051379</v>
      </c>
      <c r="T76" s="1">
        <v>-0.73501520355173466</v>
      </c>
      <c r="U76" s="1">
        <v>-0.54663110114763969</v>
      </c>
      <c r="V76" s="1">
        <v>0.13827389351999142</v>
      </c>
      <c r="W76" s="1">
        <v>0.39562260793542431</v>
      </c>
      <c r="X76" s="1">
        <v>-0.9158431868993836</v>
      </c>
      <c r="Y76" s="1">
        <v>-0.25495536557048371</v>
      </c>
      <c r="Z76" s="1">
        <v>-0.27696945508075893</v>
      </c>
      <c r="AA76" s="1">
        <v>0.23283969918866937</v>
      </c>
      <c r="AB76" s="1">
        <v>-0.52437046029021706</v>
      </c>
      <c r="AC76" s="1">
        <v>-0.73926153014399199</v>
      </c>
      <c r="AD76" s="1">
        <v>-0.46220255881578604</v>
      </c>
      <c r="AE76" s="1">
        <v>-0.98472063741736204</v>
      </c>
      <c r="AF76" s="1">
        <v>-0.37702610069428594</v>
      </c>
      <c r="AG76" s="1">
        <v>-0.16784726512746001</v>
      </c>
      <c r="AH76" s="1">
        <v>-8.015348532586497E-2</v>
      </c>
      <c r="AI76" s="1">
        <v>0.21087245227638063</v>
      </c>
      <c r="AJ76" s="1">
        <v>1.5507928168590379</v>
      </c>
      <c r="AK76" s="1">
        <v>-0.60915053609042502</v>
      </c>
      <c r="AL76" s="2">
        <v>5.1637485285543461E-2</v>
      </c>
      <c r="AM76" s="2">
        <v>0.25457383994431643</v>
      </c>
      <c r="AN76" s="2">
        <v>-0.81764261788913362</v>
      </c>
      <c r="AO76" s="2">
        <v>-0.70751480633901354</v>
      </c>
      <c r="AP76" s="2">
        <v>-0.8453802163079065</v>
      </c>
      <c r="AQ76" s="2">
        <v>-1.1911320947607145</v>
      </c>
      <c r="AR76" s="2">
        <v>-1.0174941785890326</v>
      </c>
      <c r="AS76" s="2">
        <v>-0.9164167288734375</v>
      </c>
      <c r="AT76" s="2">
        <v>-1.1013638269625095</v>
      </c>
      <c r="AU76" s="2">
        <v>3.6961429793005485E-2</v>
      </c>
      <c r="AV76" s="2">
        <v>-0.45499973849382663</v>
      </c>
      <c r="AW76" s="2">
        <v>-0.64520972661800757</v>
      </c>
      <c r="AX76" s="2">
        <v>-0.73526342861618754</v>
      </c>
      <c r="AY76" s="2">
        <v>-0.46111005166295765</v>
      </c>
      <c r="AZ76" s="2">
        <v>-0.37549690465703295</v>
      </c>
      <c r="BA76" s="2">
        <v>-0.62992553164900955</v>
      </c>
      <c r="BB76" s="2">
        <v>9.169898195900944E-2</v>
      </c>
      <c r="BC76" s="2">
        <v>-0.38448617713970173</v>
      </c>
      <c r="BD76" s="2">
        <v>-0.27814841952256458</v>
      </c>
      <c r="BE76" s="2">
        <v>-0.63569948775938456</v>
      </c>
      <c r="BF76" s="2">
        <v>-0.41775397948107568</v>
      </c>
      <c r="BG76" s="2">
        <v>0.15445893254952342</v>
      </c>
      <c r="BH76" s="2">
        <v>-0.34528936271221822</v>
      </c>
      <c r="BI76" s="2">
        <v>-1.4089876271001356</v>
      </c>
      <c r="BJ76" s="2">
        <v>-0.43718434328068512</v>
      </c>
      <c r="BK76" s="2">
        <v>0.33806480295655145</v>
      </c>
      <c r="BL76" s="2">
        <v>-0.76581777265720652</v>
      </c>
      <c r="BM76" s="2">
        <v>0.25803284876256943</v>
      </c>
      <c r="BN76" s="2">
        <v>-0.54039974615902153</v>
      </c>
      <c r="BO76" s="2">
        <v>-0.73631368223654348</v>
      </c>
      <c r="BP76" s="2">
        <v>-0.87389395603629061</v>
      </c>
      <c r="BQ76" s="2">
        <v>-0.31115990450728054</v>
      </c>
      <c r="BR76" s="2">
        <v>-5.1171972560145607E-3</v>
      </c>
      <c r="BS76" s="2">
        <v>7.0665099999504544E-3</v>
      </c>
      <c r="BT76" s="2">
        <v>-0.29598750559000253</v>
      </c>
      <c r="BU76" s="2">
        <v>-0.90011243181051248</v>
      </c>
      <c r="BV76" s="2">
        <v>-0.25734690033704255</v>
      </c>
      <c r="BW76" s="2">
        <v>-0.37780139367934595</v>
      </c>
      <c r="BY76">
        <f t="shared" ref="BY76:BY89" si="12">AVERAGE(B76:AK76)</f>
        <v>-0.33163851270973266</v>
      </c>
      <c r="BZ76">
        <f t="shared" ref="BZ76:BZ89" si="13">AVERAGE(AL76:BW76)</f>
        <v>-0.46520933966929801</v>
      </c>
      <c r="CA76">
        <f t="shared" ref="CA76:CA89" si="14">2^(BY76 - BZ76)</f>
        <v>1.0970055517324799</v>
      </c>
      <c r="CB76">
        <f t="shared" ref="CB76:CB89" si="15">_xlfn.T.TEST(B76:AK76,AL76:BW76, 2, 3)</f>
        <v>0.39028888589328836</v>
      </c>
      <c r="CC76">
        <f t="shared" ref="CC76:CC89" si="16">LOG(CA76,2)</f>
        <v>0.13357082695956524</v>
      </c>
      <c r="CD76">
        <f t="shared" ref="CD76:CD89" si="17">-LOG(CB76,10)</f>
        <v>0.40861381577983474</v>
      </c>
      <c r="CE76" t="s">
        <v>113</v>
      </c>
      <c r="CH76" t="s">
        <v>91</v>
      </c>
      <c r="CI76">
        <v>8.9307665223545725E-3</v>
      </c>
      <c r="CJ76">
        <v>1.5629606804263646E-2</v>
      </c>
    </row>
    <row r="77" spans="1:88" x14ac:dyDescent="0.2">
      <c r="A77" t="s">
        <v>114</v>
      </c>
      <c r="B77" s="1">
        <v>0.2250679103890712</v>
      </c>
      <c r="C77" s="1">
        <v>0.23873028535750329</v>
      </c>
      <c r="D77" s="1">
        <v>-1.4901579131410654</v>
      </c>
      <c r="E77" s="1">
        <v>-1.5580472643041952</v>
      </c>
      <c r="F77" s="1">
        <v>-0.39489429862268821</v>
      </c>
      <c r="G77" s="1">
        <v>-0.14022221575523119</v>
      </c>
      <c r="H77" s="1">
        <v>0.14122540517732207</v>
      </c>
      <c r="I77" s="1">
        <v>0.65649291122402675</v>
      </c>
      <c r="J77" s="1">
        <v>-0.82853431593327398</v>
      </c>
      <c r="K77" s="1">
        <v>-0.50998406628126491</v>
      </c>
      <c r="L77" s="1">
        <v>-0.33640190398620096</v>
      </c>
      <c r="M77" s="1">
        <v>0.20114187914863207</v>
      </c>
      <c r="N77" s="1">
        <v>-0.70802598693787822</v>
      </c>
      <c r="O77" s="1">
        <v>0.37407044689713376</v>
      </c>
      <c r="P77" s="1">
        <v>-1.5767645070704153</v>
      </c>
      <c r="Q77" s="1" t="s">
        <v>67</v>
      </c>
      <c r="R77" s="1">
        <v>-1.9940849895617752</v>
      </c>
      <c r="S77" s="1">
        <v>0.2075372716715575</v>
      </c>
      <c r="T77" s="1">
        <v>-0.55078622695192425</v>
      </c>
      <c r="U77" s="1">
        <v>-0.2248646614566242</v>
      </c>
      <c r="V77" s="1">
        <v>-0.4171808476470672</v>
      </c>
      <c r="W77" s="1">
        <v>5.4391443056145794E-2</v>
      </c>
      <c r="X77" s="1">
        <v>-1.0123571026113054</v>
      </c>
      <c r="Y77" s="1">
        <v>-0.90851812192929515</v>
      </c>
      <c r="Z77" s="1">
        <v>-0.33697127770613888</v>
      </c>
      <c r="AA77" s="1">
        <v>0.21295159207367348</v>
      </c>
      <c r="AB77" s="1">
        <v>-0.63502147481224591</v>
      </c>
      <c r="AC77" s="1">
        <v>4.7324275564020746E-3</v>
      </c>
      <c r="AD77" s="1">
        <v>-0.46984883828754798</v>
      </c>
      <c r="AE77" s="1">
        <v>-1.4054651278899439</v>
      </c>
      <c r="AF77" s="1">
        <v>-1.051005089877834</v>
      </c>
      <c r="AG77" s="1">
        <v>-1.5267921217389038</v>
      </c>
      <c r="AH77" s="1">
        <v>-0.31342253351523397</v>
      </c>
      <c r="AI77" s="1">
        <v>-3.174383229056793E-2</v>
      </c>
      <c r="AJ77" s="1">
        <v>-3.7750328245697906E-2</v>
      </c>
      <c r="AK77" s="1">
        <v>-1.083156246706324</v>
      </c>
      <c r="AL77" s="2">
        <v>-0.56900673409489499</v>
      </c>
      <c r="AM77" s="2">
        <v>-0.72004388555873999</v>
      </c>
      <c r="AN77" s="2">
        <v>-0.85034965015438801</v>
      </c>
      <c r="AO77" s="2">
        <v>-1.021369781535336</v>
      </c>
      <c r="AP77" s="2">
        <v>-1.074000733041468</v>
      </c>
      <c r="AQ77" s="2">
        <v>-1.1443949423292969</v>
      </c>
      <c r="AR77" s="2">
        <v>-0.20914690941911102</v>
      </c>
      <c r="AS77" s="2">
        <v>-1.0263399874430661</v>
      </c>
      <c r="AT77" s="2">
        <v>-1.1665463503201718</v>
      </c>
      <c r="AU77" s="2">
        <v>-0.232271380185404</v>
      </c>
      <c r="AV77" s="2">
        <v>-0.3600274489167184</v>
      </c>
      <c r="AW77" s="2">
        <v>-1.238867621252207</v>
      </c>
      <c r="AX77" s="2">
        <v>-0.91309088514304004</v>
      </c>
      <c r="AY77" s="2">
        <v>-0.73923897069463296</v>
      </c>
      <c r="AZ77" s="2">
        <v>-1.0587097304547122</v>
      </c>
      <c r="BA77" s="2">
        <v>-0.48762315180058713</v>
      </c>
      <c r="BB77" s="2">
        <v>-0.26220746384542504</v>
      </c>
      <c r="BC77" s="2">
        <v>-1.2339744393540069</v>
      </c>
      <c r="BD77" s="2">
        <v>-0.68434906642578985</v>
      </c>
      <c r="BE77" s="2">
        <v>-1.0262189590864499</v>
      </c>
      <c r="BF77" s="2">
        <v>-0.91619944327226999</v>
      </c>
      <c r="BG77" s="2">
        <v>5.8017170516307004E-2</v>
      </c>
      <c r="BH77" s="2">
        <v>-0.37825902514912213</v>
      </c>
      <c r="BI77" s="2">
        <v>-0.73910947750717493</v>
      </c>
      <c r="BJ77" s="2">
        <v>-0.70937923488958898</v>
      </c>
      <c r="BK77" s="2">
        <v>-0.57682397403902907</v>
      </c>
      <c r="BL77" s="2">
        <v>-1.406350433602936</v>
      </c>
      <c r="BM77" s="2">
        <v>-3.6384917840964981E-2</v>
      </c>
      <c r="BN77" s="2">
        <v>6.2087222169596001E-2</v>
      </c>
      <c r="BO77" s="2">
        <v>-0.95166637172912905</v>
      </c>
      <c r="BP77" s="2">
        <v>-1.030637629638987</v>
      </c>
      <c r="BQ77" s="2">
        <v>-0.72730805276327004</v>
      </c>
      <c r="BR77" s="2">
        <v>-0.86206033204054699</v>
      </c>
      <c r="BS77" s="2">
        <v>-0.542773751001559</v>
      </c>
      <c r="BT77" s="2">
        <v>-0.31969138441302047</v>
      </c>
      <c r="BU77" s="2">
        <v>-1.0004450225423192</v>
      </c>
      <c r="BV77" s="2">
        <v>-9.4986305530530002E-3</v>
      </c>
      <c r="BW77" s="2">
        <v>-0.55326781446809203</v>
      </c>
      <c r="BY77">
        <f t="shared" si="12"/>
        <v>-0.49216170630597639</v>
      </c>
      <c r="BZ77">
        <f t="shared" si="13"/>
        <v>-0.70151392615317376</v>
      </c>
      <c r="CA77">
        <f t="shared" si="14"/>
        <v>1.1561689394103947</v>
      </c>
      <c r="CB77">
        <f t="shared" si="15"/>
        <v>0.11056526539390636</v>
      </c>
      <c r="CC77">
        <f t="shared" si="16"/>
        <v>0.20935221984719724</v>
      </c>
      <c r="CD77">
        <f t="shared" si="17"/>
        <v>0.95638128729017535</v>
      </c>
      <c r="CE77" t="s">
        <v>114</v>
      </c>
      <c r="CH77" t="s">
        <v>101</v>
      </c>
      <c r="CI77">
        <v>-5.9509310076011354E-3</v>
      </c>
      <c r="CJ77">
        <v>1.2119238306579678E-2</v>
      </c>
    </row>
    <row r="78" spans="1:88" x14ac:dyDescent="0.2">
      <c r="A78" t="s">
        <v>115</v>
      </c>
      <c r="B78" s="1">
        <v>0.26113643535713393</v>
      </c>
      <c r="C78" s="1">
        <v>-9.233693183834879E-3</v>
      </c>
      <c r="D78" s="1">
        <v>-1.1820652094279338</v>
      </c>
      <c r="E78" s="1">
        <v>-1.131170993885724</v>
      </c>
      <c r="F78" s="1">
        <v>-0.95686701709600386</v>
      </c>
      <c r="G78" s="1">
        <v>-1.064084003991314</v>
      </c>
      <c r="H78" s="1">
        <v>-0.68953426126378992</v>
      </c>
      <c r="I78" s="1">
        <v>-0.21394145138215687</v>
      </c>
      <c r="J78" s="1">
        <v>-1.3977061446722883</v>
      </c>
      <c r="K78" s="1">
        <v>-1.0219261049565183</v>
      </c>
      <c r="L78" s="1">
        <v>-4.7074352096574346E-2</v>
      </c>
      <c r="M78" s="1">
        <v>-9.1652448033797351E-2</v>
      </c>
      <c r="N78" s="1">
        <v>-0.49943339758995586</v>
      </c>
      <c r="O78" s="1">
        <v>0.43954472636369313</v>
      </c>
      <c r="P78" s="1">
        <v>-0.73226250456807684</v>
      </c>
      <c r="Q78" s="1">
        <v>-1.9776099653388837</v>
      </c>
      <c r="R78" s="1">
        <v>-1.4409492573554239</v>
      </c>
      <c r="S78" s="1">
        <v>-0.52437730808695782</v>
      </c>
      <c r="T78" s="1">
        <v>-1.4394000034135439</v>
      </c>
      <c r="U78" s="1">
        <v>-0.39591085192276187</v>
      </c>
      <c r="V78" s="1">
        <v>-0.41778635172932987</v>
      </c>
      <c r="W78" s="1">
        <v>-0.96186920527522379</v>
      </c>
      <c r="X78" s="1">
        <v>-0.94550463990121392</v>
      </c>
      <c r="Y78" s="1">
        <v>-0.3983171938670339</v>
      </c>
      <c r="Z78" s="1">
        <v>-0.10203243141985635</v>
      </c>
      <c r="AA78" s="1">
        <v>0.32525639978035487</v>
      </c>
      <c r="AB78" s="1">
        <v>-0.58182631683689134</v>
      </c>
      <c r="AC78" s="1">
        <v>-0.71835985245947531</v>
      </c>
      <c r="AD78" s="1">
        <v>1.2894500831971318</v>
      </c>
      <c r="AE78" s="1">
        <v>-1.3568197360330183</v>
      </c>
      <c r="AF78" s="1">
        <v>-0.70023024513306631</v>
      </c>
      <c r="AG78" s="1">
        <v>-2.2024109306577184</v>
      </c>
      <c r="AH78" s="1">
        <v>-0.3742878102325643</v>
      </c>
      <c r="AI78" s="1">
        <v>-0.17141752844539732</v>
      </c>
      <c r="AJ78" s="1">
        <v>-0.38265452854089332</v>
      </c>
      <c r="AK78" s="1">
        <v>-0.51758811237174229</v>
      </c>
      <c r="AL78" s="2">
        <v>-0.67558122269183085</v>
      </c>
      <c r="AM78" s="2">
        <v>-0.1537557708318058</v>
      </c>
      <c r="AN78" s="2">
        <v>-0.51510977484977694</v>
      </c>
      <c r="AO78" s="2">
        <v>-0.47821251388453934</v>
      </c>
      <c r="AP78" s="2">
        <v>-0.5550997810031788</v>
      </c>
      <c r="AQ78" s="2">
        <v>-0.39270234505985629</v>
      </c>
      <c r="AR78" s="2">
        <v>-0.55272851084874886</v>
      </c>
      <c r="AS78" s="2">
        <v>-0.96150824317259176</v>
      </c>
      <c r="AT78" s="2">
        <v>-0.91097914828575388</v>
      </c>
      <c r="AU78" s="2">
        <v>-0.2136361161476408</v>
      </c>
      <c r="AV78" s="2">
        <v>0.43644462165304321</v>
      </c>
      <c r="AW78" s="2">
        <v>-1.03582753166874</v>
      </c>
      <c r="AX78" s="2">
        <v>-0.40223252891766881</v>
      </c>
      <c r="AY78" s="2">
        <v>-0.40205375075506644</v>
      </c>
      <c r="AZ78" s="2">
        <v>-0.6393633442442298</v>
      </c>
      <c r="BA78" s="2">
        <v>-0.88491869965670489</v>
      </c>
      <c r="BB78" s="2">
        <v>-0.98686448603707677</v>
      </c>
      <c r="BC78" s="2">
        <v>-1.2974941791512258</v>
      </c>
      <c r="BD78" s="2">
        <v>-0.71512416725171013</v>
      </c>
      <c r="BE78" s="2">
        <v>-0.57727996112051982</v>
      </c>
      <c r="BF78" s="2">
        <v>-0.94649329660410808</v>
      </c>
      <c r="BG78" s="2">
        <v>-0.23881637822489482</v>
      </c>
      <c r="BH78" s="2">
        <v>-0.30235422983616878</v>
      </c>
      <c r="BI78" s="2">
        <v>-0.94104716535750976</v>
      </c>
      <c r="BJ78" s="2">
        <v>-0.96326646784869085</v>
      </c>
      <c r="BK78" s="2">
        <v>-0.49280273008911002</v>
      </c>
      <c r="BL78" s="2">
        <v>-1.183836230809336</v>
      </c>
      <c r="BM78" s="2">
        <v>-1.2714700793310818</v>
      </c>
      <c r="BN78" s="2">
        <v>-0.2246090974631548</v>
      </c>
      <c r="BO78" s="2">
        <v>-0.78317126854672081</v>
      </c>
      <c r="BP78" s="2">
        <v>-0.3732447844212069</v>
      </c>
      <c r="BQ78" s="2">
        <v>-0.20962168765192082</v>
      </c>
      <c r="BR78" s="2">
        <v>-0.98916115460727583</v>
      </c>
      <c r="BS78" s="2">
        <v>-0.69442855559974281</v>
      </c>
      <c r="BT78" s="2">
        <v>-0.51297284766286788</v>
      </c>
      <c r="BU78" s="2">
        <v>-0.67230487942853878</v>
      </c>
      <c r="BV78" s="2">
        <v>-9.8099823049546786E-2</v>
      </c>
      <c r="BW78" s="2">
        <v>-0.6963291821449058</v>
      </c>
      <c r="BY78">
        <f t="shared" si="12"/>
        <v>-0.62030322795751802</v>
      </c>
      <c r="BZ78">
        <f t="shared" si="13"/>
        <v>-0.61863308717374743</v>
      </c>
      <c r="CA78">
        <f t="shared" si="14"/>
        <v>0.9988430164467611</v>
      </c>
      <c r="CB78">
        <f t="shared" si="15"/>
        <v>0.98970190989242013</v>
      </c>
      <c r="CC78">
        <f t="shared" si="16"/>
        <v>-1.6701407837706431E-3</v>
      </c>
      <c r="CD78">
        <f t="shared" si="17"/>
        <v>4.4955916477563748E-3</v>
      </c>
      <c r="CE78" t="s">
        <v>115</v>
      </c>
      <c r="CH78" t="s">
        <v>52</v>
      </c>
      <c r="CI78">
        <v>-3.2812730625499625E-3</v>
      </c>
      <c r="CJ78">
        <v>4.8490401436877629E-3</v>
      </c>
    </row>
    <row r="79" spans="1:88" x14ac:dyDescent="0.2">
      <c r="A79" t="s">
        <v>116</v>
      </c>
      <c r="B79" s="1">
        <v>-6.7159797528703963E-2</v>
      </c>
      <c r="C79" s="1">
        <v>0.16230352493384612</v>
      </c>
      <c r="D79" s="1">
        <v>-0.44588194979596085</v>
      </c>
      <c r="E79" s="1">
        <v>-0.77589607055756282</v>
      </c>
      <c r="F79" s="1">
        <v>3.2062728730740528</v>
      </c>
      <c r="G79" s="1">
        <v>2.1241445218708233</v>
      </c>
      <c r="H79" s="1">
        <v>7.6054415904053124E-2</v>
      </c>
      <c r="I79" s="1">
        <v>0.44669824944076519</v>
      </c>
      <c r="J79" s="1">
        <v>-0.82118893953714978</v>
      </c>
      <c r="K79" s="1">
        <v>0.87028270773829508</v>
      </c>
      <c r="L79" s="1">
        <v>0.2242756175847162</v>
      </c>
      <c r="M79" s="1">
        <v>-0.17738986705368776</v>
      </c>
      <c r="N79" s="1">
        <v>0.17997271320440114</v>
      </c>
      <c r="O79" s="1">
        <v>-0.92525640977035484</v>
      </c>
      <c r="P79" s="1">
        <v>-0.4777039744179169</v>
      </c>
      <c r="Q79" s="1">
        <v>0.44592901815682218</v>
      </c>
      <c r="R79" s="1">
        <v>0.43770885236279911</v>
      </c>
      <c r="S79" s="1">
        <v>-0.44279393461841787</v>
      </c>
      <c r="T79" s="1">
        <v>3.5294352560813129</v>
      </c>
      <c r="U79" s="1">
        <v>1.1783821993337135E-2</v>
      </c>
      <c r="V79" s="1">
        <v>-0.64528069985469483</v>
      </c>
      <c r="W79" s="1">
        <v>-0.69678939664207884</v>
      </c>
      <c r="X79" s="1">
        <v>-2.1167081281892171</v>
      </c>
      <c r="Y79" s="1">
        <v>-0.95426510288302779</v>
      </c>
      <c r="Z79" s="1">
        <v>0.13809749671281418</v>
      </c>
      <c r="AA79" s="1">
        <v>-0.86232872081571088</v>
      </c>
      <c r="AB79" s="1">
        <v>-0.11065414631950377</v>
      </c>
      <c r="AC79" s="1">
        <v>5.7228320961523194E-2</v>
      </c>
      <c r="AD79" s="1">
        <v>-0.14055588445985878</v>
      </c>
      <c r="AE79" s="1">
        <v>2.8520916580062172E-2</v>
      </c>
      <c r="AF79" s="1">
        <v>3.66892989139685</v>
      </c>
      <c r="AG79" s="1">
        <v>3.52965232626262</v>
      </c>
      <c r="AH79" s="1">
        <v>8.0038894652494197E-2</v>
      </c>
      <c r="AI79" s="1">
        <v>1.2193230158260633</v>
      </c>
      <c r="AJ79" s="1">
        <v>-1.4836851694154296</v>
      </c>
      <c r="AK79" s="1">
        <v>-1.2939265963225099</v>
      </c>
      <c r="AL79" s="2">
        <v>0.60556027412560176</v>
      </c>
      <c r="AM79" s="2">
        <v>-1.0312790940934942</v>
      </c>
      <c r="AN79" s="2">
        <v>1.4323044873947519</v>
      </c>
      <c r="AO79" s="2">
        <v>-0.62334217553648419</v>
      </c>
      <c r="AP79" s="2">
        <v>-0.34716668013306423</v>
      </c>
      <c r="AQ79" s="2">
        <v>-0.53027443489128867</v>
      </c>
      <c r="AR79" s="2">
        <v>0.7144596957666719</v>
      </c>
      <c r="AS79" s="2">
        <v>0.48521377611287575</v>
      </c>
      <c r="AT79" s="2">
        <v>0.19967263892431475</v>
      </c>
      <c r="AU79" s="2">
        <v>0.47159186373103079</v>
      </c>
      <c r="AV79" s="2">
        <v>9.7143954183437797E-2</v>
      </c>
      <c r="AW79" s="2">
        <v>0.76692793420501182</v>
      </c>
      <c r="AX79" s="2">
        <v>1.290548466208862</v>
      </c>
      <c r="AY79" s="2">
        <v>1.335364536528777E-2</v>
      </c>
      <c r="AZ79" s="2">
        <v>0.59998054920476174</v>
      </c>
      <c r="BA79" s="2">
        <v>0.25356536527716877</v>
      </c>
      <c r="BB79" s="2">
        <v>-1.4746068410984181</v>
      </c>
      <c r="BC79" s="2">
        <v>1.0718416527861119</v>
      </c>
      <c r="BD79" s="2">
        <v>-0.23229550910628993</v>
      </c>
      <c r="BE79" s="2">
        <v>0.65706447617373176</v>
      </c>
      <c r="BF79" s="2">
        <v>0.40664705906466181</v>
      </c>
      <c r="BG79" s="2">
        <v>0.86831947364041173</v>
      </c>
      <c r="BH79" s="2">
        <v>-8.8906566123829189E-2</v>
      </c>
      <c r="BI79" s="2">
        <v>0.59247458118412177</v>
      </c>
      <c r="BJ79" s="2">
        <v>-0.44013622629200222</v>
      </c>
      <c r="BK79" s="2">
        <v>-0.26526201807172523</v>
      </c>
      <c r="BL79" s="2">
        <v>-0.35361995155773618</v>
      </c>
      <c r="BM79" s="2">
        <v>2.5192249387639809E-2</v>
      </c>
      <c r="BN79" s="2">
        <v>0.6241624582900217</v>
      </c>
      <c r="BO79" s="2">
        <v>-8.1317127058365191E-2</v>
      </c>
      <c r="BP79" s="2">
        <v>0.87050631893234176</v>
      </c>
      <c r="BQ79" s="2">
        <v>0.29598579805359682</v>
      </c>
      <c r="BR79" s="2">
        <v>-1.2318135559997723</v>
      </c>
      <c r="BS79" s="2">
        <v>1.1011116785751618</v>
      </c>
      <c r="BT79" s="2">
        <v>-4.0025471417992231E-2</v>
      </c>
      <c r="BU79" s="2">
        <v>2.6328598112803803E-2</v>
      </c>
      <c r="BV79" s="2">
        <v>-0.16271228497801921</v>
      </c>
      <c r="BW79" s="2">
        <v>-0.63653388389516319</v>
      </c>
      <c r="BY79">
        <f t="shared" si="12"/>
        <v>0.22219965684877399</v>
      </c>
      <c r="BZ79">
        <f t="shared" si="13"/>
        <v>0.15607013616965099</v>
      </c>
      <c r="CA79">
        <f t="shared" si="14"/>
        <v>1.0469042655685508</v>
      </c>
      <c r="CB79">
        <f t="shared" si="15"/>
        <v>0.7980536202165146</v>
      </c>
      <c r="CC79">
        <f t="shared" si="16"/>
        <v>6.6129520679122936E-2</v>
      </c>
      <c r="CD79">
        <f t="shared" si="17"/>
        <v>9.7967927970295188E-2</v>
      </c>
      <c r="CE79" t="s">
        <v>116</v>
      </c>
      <c r="CH79" t="s">
        <v>115</v>
      </c>
      <c r="CI79">
        <v>-1.6701407837706431E-3</v>
      </c>
      <c r="CJ79">
        <v>4.4955916477563748E-3</v>
      </c>
    </row>
    <row r="80" spans="1:88" x14ac:dyDescent="0.2">
      <c r="A80" t="s">
        <v>117</v>
      </c>
      <c r="B80" s="1">
        <v>0.88549802224228658</v>
      </c>
      <c r="C80" s="1">
        <v>0.99539154956342668</v>
      </c>
      <c r="D80" s="1">
        <v>0.36118913524856966</v>
      </c>
      <c r="E80" s="1">
        <v>0.36019982275438467</v>
      </c>
      <c r="F80" s="1">
        <v>4.5222239764512162</v>
      </c>
      <c r="G80" s="1">
        <v>2.6940226382561168</v>
      </c>
      <c r="H80" s="1">
        <v>1.4282133378440867</v>
      </c>
      <c r="I80" s="1">
        <v>0.81521252661973365</v>
      </c>
      <c r="J80" s="1">
        <v>-0.85152680365966571</v>
      </c>
      <c r="K80" s="1">
        <v>1.3687713617517805</v>
      </c>
      <c r="L80" s="1">
        <v>0.50891386795258609</v>
      </c>
      <c r="M80" s="1">
        <v>0.74106329071503518</v>
      </c>
      <c r="N80" s="1">
        <v>0.49637700690893061</v>
      </c>
      <c r="O80" s="1">
        <v>0.50449058167850569</v>
      </c>
      <c r="P80" s="1">
        <v>0.25417540082957563</v>
      </c>
      <c r="Q80" s="1">
        <v>0.10928470982922361</v>
      </c>
      <c r="R80" s="1">
        <v>1.3647162492262466</v>
      </c>
      <c r="S80" s="1">
        <v>-0.13367297802054437</v>
      </c>
      <c r="T80" s="1">
        <v>4.3046603065218765</v>
      </c>
      <c r="U80" s="1">
        <v>1.2069452200342967</v>
      </c>
      <c r="V80" s="1">
        <v>0.63626469487897763</v>
      </c>
      <c r="W80" s="1">
        <v>0.75372505320741567</v>
      </c>
      <c r="X80" s="1">
        <v>-0.73292680325483439</v>
      </c>
      <c r="Y80" s="1">
        <v>1.3480950382694166</v>
      </c>
      <c r="Z80" s="1">
        <v>0.92147813525927824</v>
      </c>
      <c r="AA80" s="1">
        <v>-1.0093336836910005</v>
      </c>
      <c r="AB80" s="1">
        <v>1.0060775602679692</v>
      </c>
      <c r="AC80" s="1">
        <v>1.4423186325748842</v>
      </c>
      <c r="AD80" s="1">
        <v>0.95994508561441827</v>
      </c>
      <c r="AE80" s="1">
        <v>1.0616374865374683</v>
      </c>
      <c r="AF80" s="1">
        <v>1.1914902428025782</v>
      </c>
      <c r="AG80" s="1">
        <v>3.7672746616288544</v>
      </c>
      <c r="AH80" s="1">
        <v>1.2732026339868874</v>
      </c>
      <c r="AI80" s="1">
        <v>1.6865519904389943</v>
      </c>
      <c r="AJ80" s="1">
        <v>-0.74846531175964581</v>
      </c>
      <c r="AK80" s="1">
        <v>-0.40404470499306577</v>
      </c>
      <c r="AL80" s="2">
        <v>1.0658297788515099</v>
      </c>
      <c r="AM80" s="2">
        <v>2.2378121896404699</v>
      </c>
      <c r="AN80" s="2">
        <v>1.5643183269216099</v>
      </c>
      <c r="AO80" s="2">
        <v>1.40939981404551</v>
      </c>
      <c r="AP80" s="2">
        <v>-9.1643202238131105E-2</v>
      </c>
      <c r="AQ80" s="2">
        <v>-0.3789114572795641</v>
      </c>
      <c r="AR80" s="2">
        <v>1.41568362010284</v>
      </c>
      <c r="AS80" s="2">
        <v>0.69840338470494978</v>
      </c>
      <c r="AT80" s="2">
        <v>-5.5314401045416128E-2</v>
      </c>
      <c r="AU80" s="2">
        <v>0.83690908587237978</v>
      </c>
      <c r="AV80" s="2">
        <v>1.7584367432013801</v>
      </c>
      <c r="AW80" s="2">
        <v>1.55198846852343</v>
      </c>
      <c r="AX80" s="2">
        <v>1.9162700253611598</v>
      </c>
      <c r="AY80" s="2">
        <v>0.45758359003552984</v>
      </c>
      <c r="AZ80" s="2">
        <v>1.2894802593784098</v>
      </c>
      <c r="BA80" s="2">
        <v>1.5546734738710697</v>
      </c>
      <c r="BB80" s="2">
        <v>1.4188121667401199</v>
      </c>
      <c r="BC80" s="2">
        <v>2.1357362280065799</v>
      </c>
      <c r="BD80" s="2">
        <v>1.3387706350971755</v>
      </c>
      <c r="BE80" s="2">
        <v>0.62990668247044979</v>
      </c>
      <c r="BF80" s="2">
        <v>1.3204732819962675</v>
      </c>
      <c r="BG80" s="2">
        <v>1.4744966121781098</v>
      </c>
      <c r="BH80" s="2">
        <v>0.22619478649956992</v>
      </c>
      <c r="BI80" s="2">
        <v>1.2435985957418898</v>
      </c>
      <c r="BJ80" s="2">
        <v>0.51493536718804989</v>
      </c>
      <c r="BK80" s="2">
        <v>1.6331709893794497</v>
      </c>
      <c r="BL80" s="2">
        <v>1.1913182381491298</v>
      </c>
      <c r="BM80" s="2">
        <v>2.13146249559124</v>
      </c>
      <c r="BN80" s="2">
        <v>0.49864220757488997</v>
      </c>
      <c r="BO80" s="2">
        <v>5.8382678482233885E-2</v>
      </c>
      <c r="BP80" s="2">
        <v>2.8118077977775897</v>
      </c>
      <c r="BQ80" s="2">
        <v>1.1590677033082399</v>
      </c>
      <c r="BR80" s="2">
        <v>1.6404314661826098</v>
      </c>
      <c r="BS80" s="2">
        <v>2.22603155882658</v>
      </c>
      <c r="BT80" s="2">
        <v>8.2085734903299845E-2</v>
      </c>
      <c r="BU80" s="2">
        <v>-0.15430900205816211</v>
      </c>
      <c r="BV80" s="2">
        <v>0.13393420559853686</v>
      </c>
      <c r="BW80" s="2">
        <v>-6.0403133378182094E-2</v>
      </c>
      <c r="BY80">
        <f t="shared" si="12"/>
        <v>0.97470666484767376</v>
      </c>
      <c r="BZ80">
        <f t="shared" si="13"/>
        <v>1.075933342005337</v>
      </c>
      <c r="CA80">
        <f t="shared" si="14"/>
        <v>0.93224000079039326</v>
      </c>
      <c r="CB80">
        <f t="shared" si="15"/>
        <v>0.68276834461964864</v>
      </c>
      <c r="CC80">
        <f t="shared" si="16"/>
        <v>-0.10122667715766319</v>
      </c>
      <c r="CD80">
        <f t="shared" si="17"/>
        <v>0.1657266224074794</v>
      </c>
      <c r="CE80" t="s">
        <v>117</v>
      </c>
    </row>
    <row r="81" spans="1:83" x14ac:dyDescent="0.2">
      <c r="A81" t="s">
        <v>118</v>
      </c>
      <c r="B81" s="1">
        <v>1.0623962738978416</v>
      </c>
      <c r="C81" s="1">
        <v>0.50710404488234562</v>
      </c>
      <c r="D81" s="1">
        <v>0.60770406173361058</v>
      </c>
      <c r="E81" s="1">
        <v>-0.53034530251128442</v>
      </c>
      <c r="F81" s="1">
        <v>0.2654571792058667</v>
      </c>
      <c r="G81" s="1">
        <v>-0.24948172996820339</v>
      </c>
      <c r="H81" s="1">
        <v>0.23140063311932657</v>
      </c>
      <c r="I81" s="1">
        <v>0.97397852436822663</v>
      </c>
      <c r="J81" s="1" t="s">
        <v>67</v>
      </c>
      <c r="K81" s="1">
        <v>-6.3571049246959221E-2</v>
      </c>
      <c r="L81" s="1">
        <v>8.5699962894294879E-2</v>
      </c>
      <c r="M81" s="1">
        <v>0.90125693448158783</v>
      </c>
      <c r="N81" s="1">
        <v>0.81112650436854861</v>
      </c>
      <c r="O81" s="1">
        <v>0.13166670783821557</v>
      </c>
      <c r="P81" s="1">
        <v>-4.8061738648954411E-2</v>
      </c>
      <c r="Q81" s="1">
        <v>-1.0358964675939166</v>
      </c>
      <c r="R81" s="1">
        <v>-4.172652702696944E-2</v>
      </c>
      <c r="S81" s="1">
        <v>-1.3801798081893866</v>
      </c>
      <c r="T81" s="1">
        <v>0.34543222137589219</v>
      </c>
      <c r="U81" s="1">
        <v>8.8061318020129564E-2</v>
      </c>
      <c r="V81" s="1">
        <v>0.12499164934159659</v>
      </c>
      <c r="W81" s="1">
        <v>0.67126596023150564</v>
      </c>
      <c r="X81" s="1">
        <v>0.7939066647969536</v>
      </c>
      <c r="Y81" s="1">
        <v>-5.4663482658534046E-3</v>
      </c>
      <c r="Z81" s="1">
        <v>2.1817684006096849E-2</v>
      </c>
      <c r="AA81" s="1">
        <v>0.80745255604009869</v>
      </c>
      <c r="AB81" s="1">
        <v>-0.29706024198745318</v>
      </c>
      <c r="AC81" s="1">
        <v>2.18462776919722</v>
      </c>
      <c r="AD81" s="1">
        <v>0.16221562234632486</v>
      </c>
      <c r="AE81" s="1">
        <v>-1.1445760169311603</v>
      </c>
      <c r="AF81" s="1">
        <v>-0.97026393051031012</v>
      </c>
      <c r="AG81" s="1">
        <v>-0.27705816668052818</v>
      </c>
      <c r="AH81" s="1">
        <v>-3.6854217840754155E-2</v>
      </c>
      <c r="AI81" s="1">
        <v>0.88920578718516485</v>
      </c>
      <c r="AJ81" s="1">
        <v>-0.47297372819174111</v>
      </c>
      <c r="AK81" s="1">
        <v>-0.54936043037344318</v>
      </c>
      <c r="AL81" s="2">
        <v>1.1886559810056994</v>
      </c>
      <c r="AM81" s="2">
        <v>0.90464807372002931</v>
      </c>
      <c r="AN81" s="2">
        <v>0.52551222300974931</v>
      </c>
      <c r="AO81" s="2">
        <v>8.8061373289863187E-2</v>
      </c>
      <c r="AP81" s="2">
        <v>-0.68239220670239176</v>
      </c>
      <c r="AQ81" s="2">
        <v>-0.14298637289199378</v>
      </c>
      <c r="AR81" s="2">
        <v>0.9867191340037893</v>
      </c>
      <c r="AS81" s="2">
        <v>-0.59674749327400478</v>
      </c>
      <c r="AT81" s="2">
        <v>-0.53904062256031571</v>
      </c>
      <c r="AU81" s="2">
        <v>2.4133969922078391</v>
      </c>
      <c r="AV81" s="2">
        <v>1.4897722706820693</v>
      </c>
      <c r="AW81" s="2">
        <v>0.47131121113306929</v>
      </c>
      <c r="AX81" s="2">
        <v>0.39975205947964931</v>
      </c>
      <c r="AY81" s="2">
        <v>-0.71480274654336173</v>
      </c>
      <c r="AZ81" s="2">
        <v>0.53839804183403928</v>
      </c>
      <c r="BA81" s="2">
        <v>0.62916325872929924</v>
      </c>
      <c r="BB81" s="2">
        <v>1.3042227664081694</v>
      </c>
      <c r="BC81" s="2">
        <v>0.52565745848678924</v>
      </c>
      <c r="BD81" s="2">
        <v>0.84244950040657574</v>
      </c>
      <c r="BE81" s="2">
        <v>-0.31833001799343874</v>
      </c>
      <c r="BF81" s="2">
        <v>-2.9753280277640237E-2</v>
      </c>
      <c r="BG81" s="2">
        <v>1.1949814154045593</v>
      </c>
      <c r="BH81" s="2">
        <v>-0.29633197906838882</v>
      </c>
      <c r="BI81" s="2">
        <v>-0.39049544797860974</v>
      </c>
      <c r="BJ81" s="2">
        <v>-0.29092648188599979</v>
      </c>
      <c r="BK81" s="2">
        <v>0.65299040269652919</v>
      </c>
      <c r="BL81" s="2">
        <v>0.75215200536223925</v>
      </c>
      <c r="BM81" s="2">
        <v>2.9854511503026391</v>
      </c>
      <c r="BN81" s="2">
        <v>0.67052013069586924</v>
      </c>
      <c r="BO81" s="2">
        <v>-0.42659740609809577</v>
      </c>
      <c r="BP81" s="2">
        <v>0.54987958256621927</v>
      </c>
      <c r="BQ81" s="2">
        <v>0.1712567974497492</v>
      </c>
      <c r="BR81" s="2">
        <v>0.63955227327345932</v>
      </c>
      <c r="BS81" s="2">
        <v>-1.7587190544705811E-2</v>
      </c>
      <c r="BT81" s="2">
        <v>-0.95195307391774364</v>
      </c>
      <c r="BU81" s="2">
        <v>-0.97985579095508779</v>
      </c>
      <c r="BV81" s="2">
        <v>8.8905554224562033E-3</v>
      </c>
      <c r="BW81" s="2">
        <v>-0.59234620208623678</v>
      </c>
      <c r="BY81">
        <f t="shared" si="12"/>
        <v>0.13039692443896941</v>
      </c>
      <c r="BZ81">
        <f t="shared" si="13"/>
        <v>0.34113811433664032</v>
      </c>
      <c r="CA81">
        <f t="shared" si="14"/>
        <v>0.86409318619168918</v>
      </c>
      <c r="CB81">
        <f t="shared" si="15"/>
        <v>0.26034910829768848</v>
      </c>
      <c r="CC81">
        <f t="shared" si="16"/>
        <v>-0.21074118989767102</v>
      </c>
      <c r="CD81">
        <f t="shared" si="17"/>
        <v>0.58444390545537761</v>
      </c>
      <c r="CE81" t="s">
        <v>118</v>
      </c>
    </row>
    <row r="82" spans="1:83" x14ac:dyDescent="0.2">
      <c r="A82" t="s">
        <v>119</v>
      </c>
      <c r="B82" s="1">
        <v>-0.15246772892658753</v>
      </c>
      <c r="C82" s="1">
        <v>-0.76328221861212109</v>
      </c>
      <c r="D82" s="1">
        <v>-0.96898523510213508</v>
      </c>
      <c r="E82" s="1">
        <v>-1.153230332301435</v>
      </c>
      <c r="F82" s="1">
        <v>4.902891869136089E-2</v>
      </c>
      <c r="G82" s="1">
        <v>-1.0556078439261124E-2</v>
      </c>
      <c r="H82" s="1">
        <v>0.67534400589756682</v>
      </c>
      <c r="I82" s="1">
        <v>1.3304484454828847E-3</v>
      </c>
      <c r="J82" s="1">
        <v>-0.62363727512493805</v>
      </c>
      <c r="K82" s="1">
        <v>-0.73928247575122641</v>
      </c>
      <c r="L82" s="1">
        <v>-2.2215992537954088E-2</v>
      </c>
      <c r="M82" s="1">
        <v>1.1569789254348111</v>
      </c>
      <c r="N82" s="1">
        <v>-0.33168677184932915</v>
      </c>
      <c r="O82" s="1">
        <v>0.51732442130120293</v>
      </c>
      <c r="P82" s="1">
        <v>4.4898643915872893E-2</v>
      </c>
      <c r="Q82" s="1">
        <v>-1.2596098300066791</v>
      </c>
      <c r="R82" s="1">
        <v>-1.208472540238269</v>
      </c>
      <c r="S82" s="1">
        <v>-0.83817868240682802</v>
      </c>
      <c r="T82" s="1">
        <v>-0.2189784124946863</v>
      </c>
      <c r="U82" s="1">
        <v>-0.2871027841215511</v>
      </c>
      <c r="V82" s="1">
        <v>-1.7751321155383091</v>
      </c>
      <c r="W82" s="1">
        <v>0.3042067334369149</v>
      </c>
      <c r="X82" s="1">
        <v>0.80901845178174092</v>
      </c>
      <c r="Y82" s="1">
        <v>-1.3692864384539591</v>
      </c>
      <c r="Z82" s="1">
        <v>-1.1999995962895291</v>
      </c>
      <c r="AA82" s="1">
        <v>-0.35890094402303641</v>
      </c>
      <c r="AB82" s="1">
        <v>0.60816069303679599</v>
      </c>
      <c r="AC82" s="1">
        <v>0.30539614551119193</v>
      </c>
      <c r="AD82" s="1">
        <v>-1.7335142624227891</v>
      </c>
      <c r="AE82" s="1">
        <v>-2.4524724209834065E-2</v>
      </c>
      <c r="AF82" s="1">
        <v>0.47320937632056398</v>
      </c>
      <c r="AG82" s="1">
        <v>2.6611467294653708</v>
      </c>
      <c r="AH82" s="1">
        <v>-0.54171883905860607</v>
      </c>
      <c r="AI82" s="1">
        <v>-0.46823181075458009</v>
      </c>
      <c r="AJ82" s="1">
        <v>2.1006541082829608</v>
      </c>
      <c r="AK82" s="1">
        <v>-0.53436063112934906</v>
      </c>
      <c r="AL82" s="2">
        <v>-7.6718778334859031E-2</v>
      </c>
      <c r="AM82" s="2">
        <v>0.69623870829310985</v>
      </c>
      <c r="AN82" s="2">
        <v>-2.5309599387832032E-2</v>
      </c>
      <c r="AO82" s="2">
        <v>-0.15043080398458603</v>
      </c>
      <c r="AP82" s="2">
        <v>-1.5920593134128791</v>
      </c>
      <c r="AQ82" s="2">
        <v>2.6619670928248462E-2</v>
      </c>
      <c r="AR82" s="2">
        <v>-0.85158756423990711</v>
      </c>
      <c r="AS82" s="2">
        <v>-2.5257326218624092</v>
      </c>
      <c r="AT82" s="2">
        <v>-1.365463494790049</v>
      </c>
      <c r="AU82" s="2">
        <v>-1.2806864502412292</v>
      </c>
      <c r="AV82" s="2">
        <v>1.7065729900154509</v>
      </c>
      <c r="AW82" s="2">
        <v>-6.7941179109686042E-2</v>
      </c>
      <c r="AX82" s="2">
        <v>0.93436502346027694</v>
      </c>
      <c r="AY82" s="2">
        <v>6.8906518988566659E-2</v>
      </c>
      <c r="AZ82" s="2">
        <v>-4.8777461133457434E-2</v>
      </c>
      <c r="BA82" s="2">
        <v>-1.058625117226919</v>
      </c>
      <c r="BB82" s="2">
        <v>0.80074666557225305</v>
      </c>
      <c r="BC82" s="2">
        <v>-0.71583349157163711</v>
      </c>
      <c r="BD82" s="2">
        <v>-1.4867176828079662</v>
      </c>
      <c r="BE82" s="2">
        <v>1.3428920929751009</v>
      </c>
      <c r="BF82" s="2">
        <v>-0.76387950014903638</v>
      </c>
      <c r="BG82" s="2">
        <v>0.44660445813921795</v>
      </c>
      <c r="BH82" s="2">
        <v>0.41804625230243098</v>
      </c>
      <c r="BI82" s="2">
        <v>1.6524699561690208</v>
      </c>
      <c r="BJ82" s="2">
        <v>-1.277782029680949</v>
      </c>
      <c r="BK82" s="2">
        <v>-0.31584839825777505</v>
      </c>
      <c r="BL82" s="2">
        <v>-0.80670073422992594</v>
      </c>
      <c r="BM82" s="2">
        <v>-0.37297191109820205</v>
      </c>
      <c r="BN82" s="2">
        <v>7.3388505574968871E-2</v>
      </c>
      <c r="BO82" s="2">
        <v>-0.60928268723576506</v>
      </c>
      <c r="BP82" s="2">
        <v>0.16644954924470795</v>
      </c>
      <c r="BQ82" s="2">
        <v>0.68310672444293696</v>
      </c>
      <c r="BR82" s="2">
        <v>-1.918669278574699</v>
      </c>
      <c r="BS82" s="2">
        <v>-2.1403431676640889</v>
      </c>
      <c r="BT82" s="2">
        <v>-1.635441298269259</v>
      </c>
      <c r="BU82" s="2">
        <v>0.53973072502124797</v>
      </c>
      <c r="BV82" s="2">
        <v>-0.923287767115895</v>
      </c>
      <c r="BW82" s="2">
        <v>-1.666078446116519</v>
      </c>
      <c r="BY82">
        <f t="shared" si="12"/>
        <v>-0.19101828106308769</v>
      </c>
      <c r="BZ82">
        <f t="shared" si="13"/>
        <v>-0.37157976145705235</v>
      </c>
      <c r="CA82">
        <f t="shared" si="14"/>
        <v>1.1333248765435258</v>
      </c>
      <c r="CB82">
        <f t="shared" si="15"/>
        <v>0.43995953931161524</v>
      </c>
      <c r="CC82">
        <f t="shared" si="16"/>
        <v>0.18056148039396469</v>
      </c>
      <c r="CD82">
        <f t="shared" si="17"/>
        <v>0.35658726138124136</v>
      </c>
      <c r="CE82" t="s">
        <v>119</v>
      </c>
    </row>
    <row r="83" spans="1:83" x14ac:dyDescent="0.2">
      <c r="A83" t="s">
        <v>120</v>
      </c>
      <c r="B83" s="1">
        <v>0.65555729192889245</v>
      </c>
      <c r="C83" s="1">
        <v>-3.057950757097502E-2</v>
      </c>
      <c r="D83" s="1">
        <v>-0.56220145070576155</v>
      </c>
      <c r="E83" s="1">
        <v>-1.1406775831788845</v>
      </c>
      <c r="F83" s="1">
        <v>1.0603189934592157</v>
      </c>
      <c r="G83" s="1">
        <v>1.5973341289031655</v>
      </c>
      <c r="H83" s="1">
        <v>0.23565589502531548</v>
      </c>
      <c r="I83" s="1">
        <v>-0.18151250477414149</v>
      </c>
      <c r="J83" s="1">
        <v>1.027941900671272</v>
      </c>
      <c r="K83" s="1">
        <v>-0.1223611003061813</v>
      </c>
      <c r="L83" s="1">
        <v>0.46835052618691397</v>
      </c>
      <c r="M83" s="1">
        <v>0.77361726165086198</v>
      </c>
      <c r="N83" s="1">
        <v>0.33501078491299247</v>
      </c>
      <c r="O83" s="1">
        <v>1.9501418566210256</v>
      </c>
      <c r="P83" s="1">
        <v>-0.63852817394269457</v>
      </c>
      <c r="Q83" s="1">
        <v>-1.3306420354531745</v>
      </c>
      <c r="R83" s="1">
        <v>-1.3285360594254043</v>
      </c>
      <c r="S83" s="1">
        <v>-0.64332350242723757</v>
      </c>
      <c r="T83" s="1">
        <v>0.95035472628621542</v>
      </c>
      <c r="U83" s="1">
        <v>9.2194096993534827E-3</v>
      </c>
      <c r="V83" s="1">
        <v>0.63577433911861347</v>
      </c>
      <c r="W83" s="1">
        <v>-0.32652906627741451</v>
      </c>
      <c r="X83" s="1">
        <v>0.74327941578150447</v>
      </c>
      <c r="Y83" s="1">
        <v>0.12852873852914248</v>
      </c>
      <c r="Z83" s="1">
        <v>0.38434474420588705</v>
      </c>
      <c r="AA83" s="1">
        <v>-0.26043709163799789</v>
      </c>
      <c r="AB83" s="1">
        <v>0.248570107053663</v>
      </c>
      <c r="AC83" s="1">
        <v>0.79251332694126198</v>
      </c>
      <c r="AD83" s="1">
        <v>1.237716831799732</v>
      </c>
      <c r="AE83" s="1">
        <v>-1.1157945502497109</v>
      </c>
      <c r="AF83" s="1">
        <v>0.14364043518895903</v>
      </c>
      <c r="AG83" s="1">
        <v>1.5950178587309822</v>
      </c>
      <c r="AH83" s="1">
        <v>0.484754719493666</v>
      </c>
      <c r="AI83" s="1">
        <v>0.42934663700179398</v>
      </c>
      <c r="AJ83" s="1">
        <v>3.9389209294131819</v>
      </c>
      <c r="AK83" s="1">
        <v>1.6181656007910821</v>
      </c>
      <c r="AL83" s="2">
        <v>1.5376514944397299</v>
      </c>
      <c r="AM83" s="2">
        <v>1.4427030300760002</v>
      </c>
      <c r="AN83" s="2">
        <v>0.43780737072723241</v>
      </c>
      <c r="AO83" s="2">
        <v>-0.40247963832202482</v>
      </c>
      <c r="AP83" s="2">
        <v>-0.57898163190903584</v>
      </c>
      <c r="AQ83" s="2">
        <v>-0.53463665830283191</v>
      </c>
      <c r="AR83" s="2">
        <v>9.2151312413561448E-3</v>
      </c>
      <c r="AS83" s="2">
        <v>-0.63725481287526986</v>
      </c>
      <c r="AT83" s="2">
        <v>-4.7190789404407851E-2</v>
      </c>
      <c r="AU83" s="2">
        <v>0.49022436381711315</v>
      </c>
      <c r="AV83" s="2">
        <v>1.0378829867996211</v>
      </c>
      <c r="AW83" s="2">
        <v>1.9416721270376001</v>
      </c>
      <c r="AX83" s="2">
        <v>0.95874307845324414</v>
      </c>
      <c r="AY83" s="2">
        <v>0.83113531306207422</v>
      </c>
      <c r="AZ83" s="2">
        <v>0.37303446713295896</v>
      </c>
      <c r="BA83" s="2">
        <v>-0.69637329612032983</v>
      </c>
      <c r="BB83" s="2">
        <v>0.54833610785546416</v>
      </c>
      <c r="BC83" s="2">
        <v>-0.71488557050282997</v>
      </c>
      <c r="BD83" s="2">
        <v>-0.89762086054099288</v>
      </c>
      <c r="BE83" s="2">
        <v>-0.28120630525899881</v>
      </c>
      <c r="BF83" s="2">
        <v>-0.89787543834448791</v>
      </c>
      <c r="BG83" s="2">
        <v>1.7675630782221003</v>
      </c>
      <c r="BH83" s="2">
        <v>0.23802937611509314</v>
      </c>
      <c r="BI83" s="2">
        <v>1.2718061347353062</v>
      </c>
      <c r="BJ83" s="2">
        <v>-0.96189911245210979</v>
      </c>
      <c r="BK83" s="2">
        <v>-1.07513802055339</v>
      </c>
      <c r="BL83" s="2">
        <v>1.46125546502084</v>
      </c>
      <c r="BM83" s="2">
        <v>-0.28026562213754691</v>
      </c>
      <c r="BN83" s="2">
        <v>-5.3957936486119851E-2</v>
      </c>
      <c r="BO83" s="2">
        <v>-6.1235360255938842E-2</v>
      </c>
      <c r="BP83" s="2">
        <v>0.47157254367070323</v>
      </c>
      <c r="BQ83" s="2">
        <v>-2.3979033283206885E-2</v>
      </c>
      <c r="BR83" s="2">
        <v>-0.68640627949280997</v>
      </c>
      <c r="BS83" s="2">
        <v>-0.57470624762030087</v>
      </c>
      <c r="BT83" s="2">
        <v>-0.36167368969119384</v>
      </c>
      <c r="BU83" s="2">
        <v>-0.10908176149795185</v>
      </c>
      <c r="BV83" s="2">
        <v>-0.68286492957539979</v>
      </c>
      <c r="BW83" s="2">
        <v>-6.6961017121895838E-2</v>
      </c>
      <c r="BY83">
        <f t="shared" si="12"/>
        <v>0.3823042731512532</v>
      </c>
      <c r="BZ83">
        <f t="shared" si="13"/>
        <v>0.11031468570150953</v>
      </c>
      <c r="CA83">
        <f t="shared" si="14"/>
        <v>1.2074718766114785</v>
      </c>
      <c r="CB83">
        <f t="shared" si="15"/>
        <v>0.21968996068400751</v>
      </c>
      <c r="CC83">
        <f t="shared" si="16"/>
        <v>0.27198958744974377</v>
      </c>
      <c r="CD83">
        <f t="shared" si="17"/>
        <v>0.65818978886536783</v>
      </c>
      <c r="CE83" t="s">
        <v>120</v>
      </c>
    </row>
    <row r="84" spans="1:83" x14ac:dyDescent="0.2">
      <c r="A84" t="s">
        <v>121</v>
      </c>
      <c r="B84" s="1">
        <v>1.4314725097871124</v>
      </c>
      <c r="C84" s="1">
        <v>1.7612222969840223</v>
      </c>
      <c r="D84" s="1">
        <v>4.1257714189461447E-2</v>
      </c>
      <c r="E84" s="1">
        <v>0.84339950620601245</v>
      </c>
      <c r="F84" s="1">
        <v>3.3495730646772826</v>
      </c>
      <c r="G84" s="1">
        <v>3.9361463250155522</v>
      </c>
      <c r="H84" s="1">
        <v>3.2491144419608124</v>
      </c>
      <c r="I84" s="1">
        <v>2.2125819999305025</v>
      </c>
      <c r="J84" s="1">
        <v>4.2535128813168477</v>
      </c>
      <c r="K84" s="1">
        <v>2.5306017109174315</v>
      </c>
      <c r="L84" s="1">
        <v>3.2679663143868569</v>
      </c>
      <c r="M84" s="1">
        <v>3.0068546656254371</v>
      </c>
      <c r="N84" s="1">
        <v>4.3172710851320524</v>
      </c>
      <c r="O84" s="1">
        <v>4.6631913938227827</v>
      </c>
      <c r="P84" s="1">
        <v>0.72243631329323255</v>
      </c>
      <c r="Q84" s="1">
        <v>1.3320712429041723</v>
      </c>
      <c r="R84" s="1">
        <v>-1.3807588094825514</v>
      </c>
      <c r="S84" s="1">
        <v>1.7480078340703225</v>
      </c>
      <c r="T84" s="1">
        <v>3.7750405599458823</v>
      </c>
      <c r="U84" s="1">
        <v>2.3105333072221526</v>
      </c>
      <c r="V84" s="1">
        <v>2.8068059667785223</v>
      </c>
      <c r="W84" s="1">
        <v>1.3082472887932926</v>
      </c>
      <c r="X84" s="1">
        <v>4.1224737797514726</v>
      </c>
      <c r="Y84" s="1">
        <v>4.8485523213446022</v>
      </c>
      <c r="Z84" s="1">
        <v>2.1578949870735271</v>
      </c>
      <c r="AA84" s="1">
        <v>0.9849011576290696</v>
      </c>
      <c r="AB84" s="1">
        <v>2.8674490139878572</v>
      </c>
      <c r="AC84" s="1">
        <v>3.3575363064193069</v>
      </c>
      <c r="AD84" s="1">
        <v>1.2047223390021171</v>
      </c>
      <c r="AE84" s="1">
        <v>0.13668669035479508</v>
      </c>
      <c r="AF84" s="1">
        <v>3.2128531652798369</v>
      </c>
      <c r="AG84" s="1">
        <v>3.5489788186779871</v>
      </c>
      <c r="AH84" s="1">
        <v>-0.25762171941294693</v>
      </c>
      <c r="AI84" s="1">
        <v>3.4401686779958371</v>
      </c>
      <c r="AJ84" s="1">
        <v>5.1753169806025863</v>
      </c>
      <c r="AK84" s="1">
        <v>1.5979851178085671</v>
      </c>
      <c r="AL84" s="2">
        <v>4.7056398875698306</v>
      </c>
      <c r="AM84" s="2">
        <v>4.8225121089180112</v>
      </c>
      <c r="AN84" s="2">
        <v>2.1280543220835808</v>
      </c>
      <c r="AO84" s="2">
        <v>4.5345664859183206</v>
      </c>
      <c r="AP84" s="2">
        <v>1.1053876811070469</v>
      </c>
      <c r="AQ84" s="2">
        <v>2.892967958131591</v>
      </c>
      <c r="AR84" s="2">
        <v>3.4976621514804309</v>
      </c>
      <c r="AS84" s="2">
        <v>0.80570801229431388</v>
      </c>
      <c r="AT84" s="2">
        <v>2.6559473349207909</v>
      </c>
      <c r="AU84" s="2">
        <v>2.6963153708995509</v>
      </c>
      <c r="AV84" s="2">
        <v>2.2303243069796812</v>
      </c>
      <c r="AW84" s="2">
        <v>1.4955849759107529</v>
      </c>
      <c r="AX84" s="2">
        <v>0.95822937314981438</v>
      </c>
      <c r="AY84" s="2">
        <v>1.287504215086549</v>
      </c>
      <c r="AZ84" s="2">
        <v>1.922484231330909</v>
      </c>
      <c r="BA84" s="2">
        <v>0.92852122331572684</v>
      </c>
      <c r="BB84" s="2">
        <v>3.1999206113280509</v>
      </c>
      <c r="BC84" s="2">
        <v>1.7771346380950399</v>
      </c>
      <c r="BD84" s="2">
        <v>0.73966010232637058</v>
      </c>
      <c r="BE84" s="2">
        <v>1.021288832462542</v>
      </c>
      <c r="BF84" s="2">
        <v>2.5948489456650816</v>
      </c>
      <c r="BG84" s="2">
        <v>4.3843164709590212</v>
      </c>
      <c r="BH84" s="2">
        <v>0.93164706321010349</v>
      </c>
      <c r="BI84" s="2">
        <v>1.7184285252900509</v>
      </c>
      <c r="BJ84" s="2">
        <v>0.6685786561786019</v>
      </c>
      <c r="BK84" s="2">
        <v>2.1367498222182606</v>
      </c>
      <c r="BL84" s="2">
        <v>4.8816856339973009</v>
      </c>
      <c r="BM84" s="2">
        <v>3.6869466269124613</v>
      </c>
      <c r="BN84" s="2">
        <v>1.6276300116064879</v>
      </c>
      <c r="BO84" s="2">
        <v>1.28736260257785</v>
      </c>
      <c r="BP84" s="2">
        <v>0.6446366143846769</v>
      </c>
      <c r="BQ84" s="2">
        <v>0.37194120556070698</v>
      </c>
      <c r="BR84" s="2">
        <v>2.2688953855710308</v>
      </c>
      <c r="BS84" s="2">
        <v>0.75732108717703994</v>
      </c>
      <c r="BT84" s="2">
        <v>1.219520859098846</v>
      </c>
      <c r="BU84" s="2">
        <v>1.9728566070517539</v>
      </c>
      <c r="BV84" s="2">
        <v>1.093854495853221</v>
      </c>
      <c r="BW84" s="2">
        <v>2.4201249424704212</v>
      </c>
      <c r="BY84">
        <f t="shared" si="12"/>
        <v>2.4412346458331049</v>
      </c>
      <c r="BZ84">
        <f t="shared" si="13"/>
        <v>2.1071778783971538</v>
      </c>
      <c r="CA84">
        <f t="shared" si="14"/>
        <v>1.2605529910834543</v>
      </c>
      <c r="CB84">
        <f t="shared" si="15"/>
        <v>0.32378181544247642</v>
      </c>
      <c r="CC84">
        <f t="shared" si="16"/>
        <v>0.33405676743595109</v>
      </c>
      <c r="CD84">
        <f t="shared" si="17"/>
        <v>0.48974754617793997</v>
      </c>
      <c r="CE84" t="s">
        <v>121</v>
      </c>
    </row>
    <row r="85" spans="1:83" x14ac:dyDescent="0.2">
      <c r="A85" t="s">
        <v>122</v>
      </c>
      <c r="B85" s="1">
        <v>0.44172515167669635</v>
      </c>
      <c r="C85" s="1">
        <v>0.42932222650476437</v>
      </c>
      <c r="D85" s="1">
        <v>-0.56645822941712465</v>
      </c>
      <c r="E85" s="1">
        <v>-1.1527641350541726</v>
      </c>
      <c r="F85" s="1">
        <v>-0.46751556063262467</v>
      </c>
      <c r="G85" s="1">
        <v>-0.13162962094387765</v>
      </c>
      <c r="H85" s="1">
        <v>0.53604322159224138</v>
      </c>
      <c r="I85" s="1">
        <v>0.86356694936718836</v>
      </c>
      <c r="J85" s="1">
        <v>0.33813659414223718</v>
      </c>
      <c r="K85" s="1">
        <v>0.28577584331142303</v>
      </c>
      <c r="L85" s="1">
        <v>-1.2694896575957119E-2</v>
      </c>
      <c r="M85" s="1">
        <v>0.49115294410673616</v>
      </c>
      <c r="N85" s="1">
        <v>1.5224059752347774</v>
      </c>
      <c r="O85" s="1">
        <v>0.63735946651753128</v>
      </c>
      <c r="P85" s="1">
        <v>-0.53045316152819266</v>
      </c>
      <c r="Q85" s="1">
        <v>0.34603678911959534</v>
      </c>
      <c r="R85" s="1">
        <v>0.99503940086532638</v>
      </c>
      <c r="S85" s="1">
        <v>-0.81222485005824274</v>
      </c>
      <c r="T85" s="1">
        <v>-0.15134796239677262</v>
      </c>
      <c r="U85" s="1">
        <v>-0.46649103308711759</v>
      </c>
      <c r="V85" s="1">
        <v>0.5745856179454174</v>
      </c>
      <c r="W85" s="1">
        <v>-0.43035495526360867</v>
      </c>
      <c r="X85" s="1">
        <v>-1.3939777181279527</v>
      </c>
      <c r="Y85" s="1">
        <v>-1.3197889732246226</v>
      </c>
      <c r="Z85" s="1">
        <v>7.5579394385105775E-2</v>
      </c>
      <c r="AA85" s="1">
        <v>1.3581460553157219</v>
      </c>
      <c r="AB85" s="1">
        <v>-0.48594129302926481</v>
      </c>
      <c r="AC85" s="1">
        <v>-0.69232974511075274</v>
      </c>
      <c r="AD85" s="1">
        <v>0.12951658621293319</v>
      </c>
      <c r="AE85" s="1">
        <v>-0.93288977188312883</v>
      </c>
      <c r="AF85" s="1">
        <v>-0.36909898860867585</v>
      </c>
      <c r="AG85" s="1">
        <v>-1.1095056409845319</v>
      </c>
      <c r="AH85" s="1">
        <v>-2.4742124448319219E-2</v>
      </c>
      <c r="AI85" s="1">
        <v>-1.506053752192172</v>
      </c>
      <c r="AJ85" s="1">
        <v>-0.59395375471556278</v>
      </c>
      <c r="AK85" s="1">
        <v>-0.24433981159298482</v>
      </c>
      <c r="AL85" s="2">
        <v>0.60168362375968099</v>
      </c>
      <c r="AM85" s="2">
        <v>-0.95016607122660113</v>
      </c>
      <c r="AN85" s="2">
        <v>-1.497330459568549</v>
      </c>
      <c r="AO85" s="2">
        <v>-1.2729012474249932</v>
      </c>
      <c r="AP85" s="2">
        <v>1.561662339801881</v>
      </c>
      <c r="AQ85" s="2">
        <v>1.7720069241714109</v>
      </c>
      <c r="AR85" s="2">
        <v>0.96562918630016092</v>
      </c>
      <c r="AS85" s="2">
        <v>-0.40746650515925154</v>
      </c>
      <c r="AT85" s="2">
        <v>0.24936211847373785</v>
      </c>
      <c r="AU85" s="2">
        <v>0.4944081290362829</v>
      </c>
      <c r="AV85" s="2">
        <v>-1.1914682431788282</v>
      </c>
      <c r="AW85" s="2">
        <v>-0.73069925435353711</v>
      </c>
      <c r="AX85" s="2">
        <v>-3.6301429386264128E-2</v>
      </c>
      <c r="AY85" s="2">
        <v>1.3666498989149509</v>
      </c>
      <c r="AZ85" s="2">
        <v>-0.26650276028341613</v>
      </c>
      <c r="BA85" s="2">
        <v>-0.12498453364698314</v>
      </c>
      <c r="BB85" s="2">
        <v>-1.3238135816000771</v>
      </c>
      <c r="BC85" s="2">
        <v>-0.23473382141793214</v>
      </c>
      <c r="BD85" s="2">
        <v>0.22143438535388704</v>
      </c>
      <c r="BE85" s="2">
        <v>0.59192580517618087</v>
      </c>
      <c r="BF85" s="2">
        <v>0.22105578235543299</v>
      </c>
      <c r="BG85" s="2">
        <v>0.89706606019823099</v>
      </c>
      <c r="BH85" s="2">
        <v>1.4360740160920809</v>
      </c>
      <c r="BI85" s="2">
        <v>0.61066147211868094</v>
      </c>
      <c r="BJ85" s="2">
        <v>-0.6826498863872581</v>
      </c>
      <c r="BK85" s="2">
        <v>-1.0375358486997932</v>
      </c>
      <c r="BL85" s="2">
        <v>-0.86290765317469909</v>
      </c>
      <c r="BM85" s="2">
        <v>0.14535734550754281</v>
      </c>
      <c r="BN85" s="2">
        <v>0.1585875892424829</v>
      </c>
      <c r="BO85" s="2">
        <v>1.607460234982651</v>
      </c>
      <c r="BP85" s="2">
        <v>-0.61083284402172111</v>
      </c>
      <c r="BQ85" s="2">
        <v>-0.21561101941146515</v>
      </c>
      <c r="BR85" s="2">
        <v>-0.94915823849369918</v>
      </c>
      <c r="BS85" s="2">
        <v>-0.16609342027970814</v>
      </c>
      <c r="BT85" s="2">
        <v>-0.26277108375238012</v>
      </c>
      <c r="BU85" s="2">
        <v>0.15999041354384186</v>
      </c>
      <c r="BV85" s="2">
        <v>0.39160495042067084</v>
      </c>
      <c r="BW85" s="2">
        <v>-0.24896979339415515</v>
      </c>
      <c r="BY85">
        <f t="shared" si="12"/>
        <v>-0.12139343784938789</v>
      </c>
      <c r="BZ85">
        <f t="shared" si="13"/>
        <v>9.9926994891704427E-3</v>
      </c>
      <c r="CA85">
        <f t="shared" si="14"/>
        <v>0.91295386519975619</v>
      </c>
      <c r="CB85">
        <f t="shared" si="15"/>
        <v>0.48961383707644535</v>
      </c>
      <c r="CC85">
        <f t="shared" si="16"/>
        <v>-0.13138613733855853</v>
      </c>
      <c r="CD85">
        <f t="shared" si="17"/>
        <v>0.31014631700418405</v>
      </c>
      <c r="CE85" t="s">
        <v>122</v>
      </c>
    </row>
    <row r="86" spans="1:83" x14ac:dyDescent="0.2">
      <c r="A86" t="s">
        <v>123</v>
      </c>
      <c r="B86" s="1">
        <v>0.79673067844520518</v>
      </c>
      <c r="C86" s="1">
        <v>0.69562855049914818</v>
      </c>
      <c r="D86" s="1">
        <v>0.15280489901798217</v>
      </c>
      <c r="E86" s="1">
        <v>-0.64878822749124987</v>
      </c>
      <c r="F86" s="1">
        <v>-0.17799166668653288</v>
      </c>
      <c r="G86" s="1">
        <v>-1.0310264055093197</v>
      </c>
      <c r="H86" s="1">
        <v>0.26171955305486716</v>
      </c>
      <c r="I86" s="1">
        <v>-5.4475705440633848E-2</v>
      </c>
      <c r="J86" s="1">
        <v>0.67361379326974435</v>
      </c>
      <c r="K86" s="1">
        <v>0.48686902933427417</v>
      </c>
      <c r="L86" s="1">
        <v>0.60079348010487332</v>
      </c>
      <c r="M86" s="1">
        <v>0.27390187668399235</v>
      </c>
      <c r="N86" s="1">
        <v>0.12178671622139414</v>
      </c>
      <c r="O86" s="1">
        <v>0.52936412234981023</v>
      </c>
      <c r="P86" s="1">
        <v>-0.43525694047981389</v>
      </c>
      <c r="Q86" s="1">
        <v>-1.4059716813021299</v>
      </c>
      <c r="R86" s="1">
        <v>-0.9365654310444399</v>
      </c>
      <c r="S86" s="1">
        <v>-1.68491179332799</v>
      </c>
      <c r="T86" s="1">
        <v>0.43866297684468386</v>
      </c>
      <c r="U86" s="1">
        <v>0.26414402490761513</v>
      </c>
      <c r="V86" s="1">
        <v>-0.1975681531143848</v>
      </c>
      <c r="W86" s="1">
        <v>-0.34946817807811381</v>
      </c>
      <c r="X86" s="1">
        <v>0.5078507314253311</v>
      </c>
      <c r="Y86" s="1">
        <v>0.49043255527290819</v>
      </c>
      <c r="Z86" s="1">
        <v>0.31564143930701138</v>
      </c>
      <c r="AA86" s="1">
        <v>0.7079246934207386</v>
      </c>
      <c r="AB86" s="1">
        <v>-0.43616360581357561</v>
      </c>
      <c r="AC86" s="1">
        <v>-0.77587643612794466</v>
      </c>
      <c r="AD86" s="1">
        <v>1.0441817275008693</v>
      </c>
      <c r="AE86" s="1">
        <v>-0.55252283386093159</v>
      </c>
      <c r="AF86" s="1">
        <v>-0.25453747642424562</v>
      </c>
      <c r="AG86" s="1">
        <v>-0.32537966579652666</v>
      </c>
      <c r="AH86" s="1">
        <v>0.46617971334265779</v>
      </c>
      <c r="AI86" s="1">
        <v>5.0982305567873365E-2</v>
      </c>
      <c r="AJ86" s="1">
        <v>-1.5113866074375146</v>
      </c>
      <c r="AK86" s="1">
        <v>-1.9322586399653146</v>
      </c>
      <c r="AL86" s="2">
        <v>1.6658418315163441</v>
      </c>
      <c r="AM86" s="2">
        <v>-0.91562986655673118</v>
      </c>
      <c r="AN86" s="2">
        <v>-1.3947778897910759</v>
      </c>
      <c r="AO86" s="2">
        <v>-6.0536204843203767E-2</v>
      </c>
      <c r="AP86" s="2">
        <v>1.1865922714108343</v>
      </c>
      <c r="AQ86" s="2">
        <v>1.1385858497941044</v>
      </c>
      <c r="AR86" s="2">
        <v>0.86830134527469416</v>
      </c>
      <c r="AS86" s="2">
        <v>0.35403404342533418</v>
      </c>
      <c r="AT86" s="2">
        <v>0.59817487055382412</v>
      </c>
      <c r="AU86" s="2">
        <v>-0.34156787326282778</v>
      </c>
      <c r="AV86" s="2">
        <v>-1.1059917566468018</v>
      </c>
      <c r="AW86" s="2">
        <v>0.13982791984894427</v>
      </c>
      <c r="AX86" s="2">
        <v>-1.0171176525686452</v>
      </c>
      <c r="AY86" s="2">
        <v>0.71439331542533413</v>
      </c>
      <c r="AZ86" s="2">
        <v>0.4748071021118041</v>
      </c>
      <c r="BA86" s="2">
        <v>0.5998259829265542</v>
      </c>
      <c r="BB86" s="2">
        <v>0.20705393489604429</v>
      </c>
      <c r="BC86" s="2">
        <v>1.6404965193395942</v>
      </c>
      <c r="BD86" s="2">
        <v>0.96328382961745118</v>
      </c>
      <c r="BE86" s="2">
        <v>-0.41774568923500877</v>
      </c>
      <c r="BF86" s="2">
        <v>-0.63843206073373482</v>
      </c>
      <c r="BG86" s="2">
        <v>1.7114834897600044</v>
      </c>
      <c r="BH86" s="2">
        <v>0.39787888206603417</v>
      </c>
      <c r="BI86" s="2">
        <v>-0.10500506403065879</v>
      </c>
      <c r="BJ86" s="2">
        <v>0.64085793377433431</v>
      </c>
      <c r="BK86" s="2">
        <v>-0.35531940398972084</v>
      </c>
      <c r="BL86" s="2">
        <v>0.29142293806980413</v>
      </c>
      <c r="BM86" s="2">
        <v>0.4507915955145243</v>
      </c>
      <c r="BN86" s="2">
        <v>0.25756522609311427</v>
      </c>
      <c r="BO86" s="2">
        <v>1.4996269350419142</v>
      </c>
      <c r="BP86" s="2">
        <v>9.2520153186084197E-2</v>
      </c>
      <c r="BQ86" s="2">
        <v>1.0795139065749249E-2</v>
      </c>
      <c r="BR86" s="2">
        <v>-0.5010618555464188</v>
      </c>
      <c r="BS86" s="2">
        <v>1.0112823659990942</v>
      </c>
      <c r="BT86" s="2">
        <v>-1.1140033992815157</v>
      </c>
      <c r="BU86" s="2">
        <v>-0.57334948622040272</v>
      </c>
      <c r="BV86" s="2">
        <v>-1.2916141804684109</v>
      </c>
      <c r="BW86" s="2">
        <v>-0.38007333568448576</v>
      </c>
      <c r="BY86">
        <f t="shared" si="12"/>
        <v>-0.1064149050369356</v>
      </c>
      <c r="BZ86">
        <f t="shared" si="13"/>
        <v>0.1764004672592599</v>
      </c>
      <c r="CA86">
        <f t="shared" si="14"/>
        <v>0.82198537346199951</v>
      </c>
      <c r="CB86">
        <f t="shared" si="15"/>
        <v>0.1341524087935351</v>
      </c>
      <c r="CC86">
        <f t="shared" si="16"/>
        <v>-0.28281537229619552</v>
      </c>
      <c r="CD86">
        <f t="shared" si="17"/>
        <v>0.87240152488284839</v>
      </c>
      <c r="CE86" t="s">
        <v>123</v>
      </c>
    </row>
    <row r="87" spans="1:83" x14ac:dyDescent="0.2">
      <c r="A87" t="s">
        <v>124</v>
      </c>
      <c r="B87" s="1">
        <v>0.31306640701280269</v>
      </c>
      <c r="C87" s="1">
        <v>-0.49386134877214627</v>
      </c>
      <c r="D87" s="1">
        <v>1.2365721151657678</v>
      </c>
      <c r="E87" s="1">
        <v>-0.91846226337282222</v>
      </c>
      <c r="F87" s="1">
        <v>-0.53088483895474325</v>
      </c>
      <c r="G87" s="1">
        <v>-0.83711995502211434</v>
      </c>
      <c r="H87" s="1">
        <v>-0.8378224139965863</v>
      </c>
      <c r="I87" s="1">
        <v>-1.2391208484931724</v>
      </c>
      <c r="J87" s="1">
        <v>-0.75067801766669318</v>
      </c>
      <c r="K87" s="1">
        <v>-0.71112146671987042</v>
      </c>
      <c r="L87" s="1">
        <v>-0.10228494147158229</v>
      </c>
      <c r="M87" s="1">
        <v>-0.10548554357305429</v>
      </c>
      <c r="N87" s="1">
        <v>-0.61982544924012628</v>
      </c>
      <c r="O87" s="1">
        <v>-1.3364325028086022</v>
      </c>
      <c r="P87" s="1">
        <v>-7.3283634129809316E-2</v>
      </c>
      <c r="Q87" s="1">
        <v>-0.70054407878842229</v>
      </c>
      <c r="R87" s="1">
        <v>-0.32746722952341828</v>
      </c>
      <c r="S87" s="1">
        <v>-0.75549075788708131</v>
      </c>
      <c r="T87" s="1">
        <v>-0.28091984063357428</v>
      </c>
      <c r="U87" s="1">
        <v>-0.56198857350577025</v>
      </c>
      <c r="V87" s="1">
        <v>-0.82211995179508635</v>
      </c>
      <c r="W87" s="1">
        <v>-1.2253954338338322</v>
      </c>
      <c r="X87" s="1">
        <v>-1.2465297699191025</v>
      </c>
      <c r="Y87" s="1">
        <v>6.3226816363474797E-2</v>
      </c>
      <c r="Z87" s="1">
        <v>-0.59517970978215318</v>
      </c>
      <c r="AA87" s="1">
        <v>-0.94611992483455043</v>
      </c>
      <c r="AB87" s="1">
        <v>-0.72757509962051325</v>
      </c>
      <c r="AC87" s="1">
        <v>-0.88629971533958329</v>
      </c>
      <c r="AD87" s="1">
        <v>-0.28731547094287924</v>
      </c>
      <c r="AE87" s="1">
        <v>-0.61231286270087337</v>
      </c>
      <c r="AF87" s="1">
        <v>-0.34199990570474326</v>
      </c>
      <c r="AG87" s="1">
        <v>-1.0320979551058533</v>
      </c>
      <c r="AH87" s="1">
        <v>9.9101127459407745E-2</v>
      </c>
      <c r="AI87" s="1">
        <v>-0.61795304547640328</v>
      </c>
      <c r="AJ87" s="1">
        <v>-1.2651001175404433</v>
      </c>
      <c r="AK87" s="1">
        <v>-1.3293906101466832</v>
      </c>
      <c r="AL87" s="2">
        <v>-0.87558048875811745</v>
      </c>
      <c r="AM87" s="2">
        <v>-1.2537467498604948</v>
      </c>
      <c r="AN87" s="2">
        <v>0.22971344179258113</v>
      </c>
      <c r="AO87" s="2">
        <v>-1.0168736252636088</v>
      </c>
      <c r="AP87" s="2">
        <v>0.13654175344870023</v>
      </c>
      <c r="AQ87" s="2">
        <v>0.19233998603788915</v>
      </c>
      <c r="AR87" s="2">
        <v>0.33802204747411124</v>
      </c>
      <c r="AS87" s="2">
        <v>-0.13818605596452982</v>
      </c>
      <c r="AT87" s="2">
        <v>-0.14523267103117476</v>
      </c>
      <c r="AU87" s="2">
        <v>-1.0887774896866267</v>
      </c>
      <c r="AV87" s="2">
        <v>-2.3868514951727087</v>
      </c>
      <c r="AW87" s="2">
        <v>-3.2209183477689751E-2</v>
      </c>
      <c r="AX87" s="2">
        <v>-0.47096655395921777</v>
      </c>
      <c r="AY87" s="2">
        <v>-0.27209201754300183</v>
      </c>
      <c r="AZ87" s="2">
        <v>-0.59684198109698983</v>
      </c>
      <c r="BA87" s="2">
        <v>-9.1930094875300794E-2</v>
      </c>
      <c r="BB87" s="2">
        <v>1.6271126841546191E-2</v>
      </c>
      <c r="BC87" s="2">
        <v>0.46088658250940118</v>
      </c>
      <c r="BD87" s="2">
        <v>0.24675282147731659</v>
      </c>
      <c r="BE87" s="2">
        <v>-0.33086913854054778</v>
      </c>
      <c r="BF87" s="2">
        <v>-5.3775049801228381E-2</v>
      </c>
      <c r="BG87" s="2">
        <v>0.19638673699765918</v>
      </c>
      <c r="BH87" s="2">
        <v>-0.27193842828211878</v>
      </c>
      <c r="BI87" s="2">
        <v>-0.80680189231064181</v>
      </c>
      <c r="BJ87" s="2">
        <v>-0.33165960238548681</v>
      </c>
      <c r="BK87" s="2">
        <v>-0.87746097635111797</v>
      </c>
      <c r="BL87" s="2">
        <v>0.3225394819346713</v>
      </c>
      <c r="BM87" s="2">
        <v>2.488677747149231</v>
      </c>
      <c r="BN87" s="2">
        <v>-1.0110518000725457</v>
      </c>
      <c r="BO87" s="2">
        <v>0.35923067592481128</v>
      </c>
      <c r="BP87" s="2">
        <v>-0.26506664859270179</v>
      </c>
      <c r="BQ87" s="2">
        <v>-0.27444467831538877</v>
      </c>
      <c r="BR87" s="2">
        <v>4.1466920013073172E-2</v>
      </c>
      <c r="BS87" s="2">
        <v>0.80524780875684121</v>
      </c>
      <c r="BT87" s="2">
        <v>-1.2216299897880898</v>
      </c>
      <c r="BU87" s="2">
        <v>-1.5753100873619927</v>
      </c>
      <c r="BV87" s="2">
        <v>-1.0761617648524209</v>
      </c>
      <c r="BW87" s="2">
        <v>-0.92573741366781981</v>
      </c>
      <c r="BY87">
        <f t="shared" si="12"/>
        <v>-0.59461713364724522</v>
      </c>
      <c r="BZ87">
        <f t="shared" si="13"/>
        <v>-0.30413470385930869</v>
      </c>
      <c r="CA87">
        <f t="shared" si="14"/>
        <v>0.81762860204755394</v>
      </c>
      <c r="CB87">
        <f t="shared" si="15"/>
        <v>6.9406078182261063E-2</v>
      </c>
      <c r="CC87">
        <f t="shared" si="16"/>
        <v>-0.29048242978793654</v>
      </c>
      <c r="CD87">
        <f t="shared" si="17"/>
        <v>1.1586024948848153</v>
      </c>
      <c r="CE87" t="s">
        <v>124</v>
      </c>
    </row>
    <row r="88" spans="1:83" x14ac:dyDescent="0.2">
      <c r="A88" t="s">
        <v>125</v>
      </c>
      <c r="B88" s="1">
        <v>0.69413304585984059</v>
      </c>
      <c r="C88" s="1">
        <v>0.5010817165825614</v>
      </c>
      <c r="D88" s="1">
        <v>0.11825146934331859</v>
      </c>
      <c r="E88" s="1">
        <v>-5.0160340894338407E-2</v>
      </c>
      <c r="F88" s="1">
        <v>-0.16217899715994039</v>
      </c>
      <c r="G88" s="1">
        <v>3.9040901475606016E-3</v>
      </c>
      <c r="H88" s="1">
        <v>0.25021833647211755</v>
      </c>
      <c r="I88" s="1">
        <v>0.73102292289556958</v>
      </c>
      <c r="J88" s="1">
        <v>-1.0406970839108773</v>
      </c>
      <c r="K88" s="1">
        <v>-0.41975589092939852</v>
      </c>
      <c r="L88" s="1">
        <v>0.3763839321465286</v>
      </c>
      <c r="M88" s="1">
        <v>0.4816548083121176</v>
      </c>
      <c r="N88" s="1">
        <v>-0.54814885447174033</v>
      </c>
      <c r="O88" s="1">
        <v>0.3089784313262196</v>
      </c>
      <c r="P88" s="1">
        <v>-0.4774886873654654</v>
      </c>
      <c r="Q88" s="1">
        <v>-1.9115827846768965</v>
      </c>
      <c r="R88" s="1">
        <v>-1.3083042031513763</v>
      </c>
      <c r="S88" s="1">
        <v>-0.71340616784822641</v>
      </c>
      <c r="T88" s="1">
        <v>-0.32322669059438641</v>
      </c>
      <c r="U88" s="1">
        <v>-0.56905947609064444</v>
      </c>
      <c r="V88" s="1">
        <v>-0.47633668600336537</v>
      </c>
      <c r="W88" s="1">
        <v>-1.0916830736050365</v>
      </c>
      <c r="X88" s="1">
        <v>-3.0112546333334433E-2</v>
      </c>
      <c r="Y88" s="1">
        <v>0.56416405180191265</v>
      </c>
      <c r="Z88" s="1">
        <v>-5.3807188476477363E-2</v>
      </c>
      <c r="AA88" s="1">
        <v>0.1700688247527265</v>
      </c>
      <c r="AB88" s="1">
        <v>-0.48092053357477843</v>
      </c>
      <c r="AC88" s="1">
        <v>-0.66510694081548727</v>
      </c>
      <c r="AD88" s="1">
        <v>0.31826446550731752</v>
      </c>
      <c r="AE88" s="1">
        <v>-1.2815046795539273</v>
      </c>
      <c r="AF88" s="1">
        <v>-1.1001764935302074</v>
      </c>
      <c r="AG88" s="1">
        <v>-1.1430507352735373</v>
      </c>
      <c r="AH88" s="1">
        <v>-3.7103771388993401E-2</v>
      </c>
      <c r="AI88" s="1">
        <v>1.9464498997532609E-2</v>
      </c>
      <c r="AJ88" s="1">
        <v>-0.51344649517901542</v>
      </c>
      <c r="AK88" s="1">
        <v>-0.20337248474888542</v>
      </c>
      <c r="AL88" s="2">
        <v>0.48617272614091522</v>
      </c>
      <c r="AM88" s="2">
        <v>-1.6613505712809908</v>
      </c>
      <c r="AN88" s="2">
        <v>-0.36279899306143787</v>
      </c>
      <c r="AO88" s="2">
        <v>-0.83322261782286011</v>
      </c>
      <c r="AP88" s="2">
        <v>0.63512095912433519</v>
      </c>
      <c r="AQ88" s="2">
        <v>0.37009689224149511</v>
      </c>
      <c r="AR88" s="2">
        <v>0.49287246105708515</v>
      </c>
      <c r="AS88" s="2">
        <v>0.46697295851130516</v>
      </c>
      <c r="AT88" s="2">
        <v>2.5424541960001101E-2</v>
      </c>
      <c r="AU88" s="2">
        <v>-0.7931717997809018</v>
      </c>
      <c r="AV88" s="2">
        <v>-2.1176113195522448</v>
      </c>
      <c r="AW88" s="2">
        <v>0.80176215217008506</v>
      </c>
      <c r="AX88" s="2">
        <v>-0.83030391282258542</v>
      </c>
      <c r="AY88" s="2">
        <v>0.76291399196092513</v>
      </c>
      <c r="AZ88" s="2">
        <v>-0.42467769133201683</v>
      </c>
      <c r="BA88" s="2">
        <v>-0.71042338388426585</v>
      </c>
      <c r="BB88" s="2">
        <v>-0.14645058752804285</v>
      </c>
      <c r="BC88" s="2">
        <v>0.82276100386873519</v>
      </c>
      <c r="BD88" s="2">
        <v>1.7075708883031504E-2</v>
      </c>
      <c r="BE88" s="2">
        <v>-0.86334617246473844</v>
      </c>
      <c r="BF88" s="2">
        <v>-0.12777063506379749</v>
      </c>
      <c r="BG88" s="2">
        <v>1.1702614349331351</v>
      </c>
      <c r="BH88" s="2">
        <v>0.3208489723055552</v>
      </c>
      <c r="BI88" s="2">
        <v>-0.37372211739743982</v>
      </c>
      <c r="BJ88" s="2">
        <v>-0.35199699152561886</v>
      </c>
      <c r="BK88" s="2">
        <v>-0.49298532201268985</v>
      </c>
      <c r="BL88" s="2">
        <v>0.6500481468519852</v>
      </c>
      <c r="BM88" s="2">
        <v>2.8345469042505651</v>
      </c>
      <c r="BN88" s="2">
        <v>-1.0467996630908059</v>
      </c>
      <c r="BO88" s="2">
        <v>0.29278773564831506</v>
      </c>
      <c r="BP88" s="2">
        <v>-0.26095656253675381</v>
      </c>
      <c r="BQ88" s="2">
        <v>-6.9316007320834871E-2</v>
      </c>
      <c r="BR88" s="2">
        <v>-0.76398187940927142</v>
      </c>
      <c r="BS88" s="2">
        <v>-0.13842381984393382</v>
      </c>
      <c r="BT88" s="2">
        <v>-0.65941510728232289</v>
      </c>
      <c r="BU88" s="2">
        <v>-0.69700437186945285</v>
      </c>
      <c r="BV88" s="2">
        <v>-6.8706157617734798E-2</v>
      </c>
      <c r="BW88" s="2">
        <v>-0.32809339670251486</v>
      </c>
      <c r="BY88">
        <f t="shared" si="12"/>
        <v>-0.27952889476197262</v>
      </c>
      <c r="BZ88">
        <f t="shared" si="13"/>
        <v>-0.10454901292883648</v>
      </c>
      <c r="CA88">
        <f t="shared" si="14"/>
        <v>0.88577987108423895</v>
      </c>
      <c r="CB88">
        <f t="shared" si="15"/>
        <v>0.31875266825958032</v>
      </c>
      <c r="CC88">
        <f t="shared" si="16"/>
        <v>-0.17497988183313634</v>
      </c>
      <c r="CD88">
        <f t="shared" si="17"/>
        <v>0.49654617108955906</v>
      </c>
      <c r="CE88" t="s">
        <v>125</v>
      </c>
    </row>
    <row r="89" spans="1:83" x14ac:dyDescent="0.2">
      <c r="A89" t="s">
        <v>126</v>
      </c>
      <c r="B89" s="1">
        <v>0.92556391141130101</v>
      </c>
      <c r="C89" s="1">
        <v>0.5503218788981874</v>
      </c>
      <c r="D89" s="1">
        <v>-4.7853802108274945E-2</v>
      </c>
      <c r="E89" s="1">
        <v>-0.60008363114051899</v>
      </c>
      <c r="F89" s="1">
        <v>-0.62573476758634905</v>
      </c>
      <c r="G89" s="1">
        <v>-0.23250298563785299</v>
      </c>
      <c r="H89" s="1">
        <v>-2.207306952948962E-3</v>
      </c>
      <c r="I89" s="1">
        <v>0.63661975500450407</v>
      </c>
      <c r="J89" s="1">
        <v>3.0148093143563218E-2</v>
      </c>
      <c r="K89" s="1">
        <v>-0.65715047200389176</v>
      </c>
      <c r="L89" s="1">
        <v>0.27130405980472622</v>
      </c>
      <c r="M89" s="1">
        <v>9.0940216173168525E-2</v>
      </c>
      <c r="N89" s="1">
        <v>-0.23129791835091595</v>
      </c>
      <c r="O89" s="1">
        <v>0.37236100345678708</v>
      </c>
      <c r="P89" s="1">
        <v>-1.3885567140300887</v>
      </c>
      <c r="Q89" s="1">
        <v>-1.8016279030806892</v>
      </c>
      <c r="R89" s="1">
        <v>0.87731202922598506</v>
      </c>
      <c r="S89" s="1">
        <v>-0.2748223801203139</v>
      </c>
      <c r="T89" s="1">
        <v>-0.95347845113323892</v>
      </c>
      <c r="U89" s="1">
        <v>0.22317194325602807</v>
      </c>
      <c r="V89" s="1">
        <v>-0.53268687428279893</v>
      </c>
      <c r="W89" s="1">
        <v>0.56232951895917271</v>
      </c>
      <c r="X89" s="1">
        <v>-9.6195373151809482E-3</v>
      </c>
      <c r="Y89" s="1">
        <v>-0.48299554721889992</v>
      </c>
      <c r="Z89" s="1">
        <v>0.1948689999969842</v>
      </c>
      <c r="AA89" s="1">
        <v>0.18323526799770332</v>
      </c>
      <c r="AB89" s="1">
        <v>-0.51559658552513277</v>
      </c>
      <c r="AC89" s="1">
        <v>-0.98606119109060886</v>
      </c>
      <c r="AD89" s="1">
        <v>1.3135211273108314</v>
      </c>
      <c r="AE89" s="1">
        <v>-1.1866966102928989</v>
      </c>
      <c r="AF89" s="1">
        <v>-0.97080709435797885</v>
      </c>
      <c r="AG89" s="1">
        <v>2.8519207978091909</v>
      </c>
      <c r="AH89" s="1">
        <v>0.94289967448663625</v>
      </c>
      <c r="AI89" s="1">
        <v>6.4962763568169019E-2</v>
      </c>
      <c r="AJ89" s="1">
        <v>-0.81377667491575278</v>
      </c>
      <c r="AK89" s="1">
        <v>-0.58763478488132681</v>
      </c>
      <c r="AL89" s="2">
        <v>0.44564758781676617</v>
      </c>
      <c r="AM89" s="2">
        <v>-1.6991048139664939</v>
      </c>
      <c r="AN89" s="2">
        <v>-1.5614374409426177</v>
      </c>
      <c r="AO89" s="2">
        <v>-0.84705143246971371</v>
      </c>
      <c r="AP89" s="2">
        <v>8.4769575063367242E-2</v>
      </c>
      <c r="AQ89" s="2">
        <v>-0.86537093398669074</v>
      </c>
      <c r="AR89" s="2">
        <v>0.5636314089781963</v>
      </c>
      <c r="AS89" s="2">
        <v>-0.23834516174738574</v>
      </c>
      <c r="AT89" s="2">
        <v>0.16274843000057726</v>
      </c>
      <c r="AU89" s="2">
        <v>-1.0171396716378418</v>
      </c>
      <c r="AV89" s="2">
        <v>-1.3798705621242688</v>
      </c>
      <c r="AW89" s="2">
        <v>-0.5689251698780492</v>
      </c>
      <c r="AX89" s="2">
        <v>-0.9182394649063168</v>
      </c>
      <c r="AY89" s="2">
        <v>0.33825577037788923</v>
      </c>
      <c r="AZ89" s="2">
        <v>3.6766143574431309E-2</v>
      </c>
      <c r="BA89" s="2">
        <v>4.1384903337312262E-2</v>
      </c>
      <c r="BB89" s="2">
        <v>5.1984801068529207E-2</v>
      </c>
      <c r="BC89" s="2">
        <v>0.95653384221224635</v>
      </c>
      <c r="BD89" s="2">
        <v>-0.28742714702067662</v>
      </c>
      <c r="BE89" s="2">
        <v>-1.2914899738802879</v>
      </c>
      <c r="BF89" s="2">
        <v>-0.28358657642974472</v>
      </c>
      <c r="BG89" s="2">
        <v>-0.40337310077013977</v>
      </c>
      <c r="BH89" s="2">
        <v>-3.9583278073299755E-2</v>
      </c>
      <c r="BI89" s="2">
        <v>5.695550110651626E-2</v>
      </c>
      <c r="BJ89" s="2">
        <v>0.52812242727444636</v>
      </c>
      <c r="BK89" s="2">
        <v>-0.13506596279460975</v>
      </c>
      <c r="BL89" s="2">
        <v>0.4829837838174863</v>
      </c>
      <c r="BM89" s="2">
        <v>2.3467348006533864</v>
      </c>
      <c r="BN89" s="2">
        <v>-0.47074607567911475</v>
      </c>
      <c r="BO89" s="2">
        <v>-0.36674750672458473</v>
      </c>
      <c r="BP89" s="2">
        <v>-0.60825266966647318</v>
      </c>
      <c r="BQ89" s="2">
        <v>1.4533552126482219E-2</v>
      </c>
      <c r="BR89" s="2">
        <v>6.9972557223806242E-2</v>
      </c>
      <c r="BS89" s="2">
        <v>-0.10073286105569079</v>
      </c>
      <c r="BT89" s="2">
        <v>-0.47583812518644175</v>
      </c>
      <c r="BU89" s="2">
        <v>-0.22618519818566774</v>
      </c>
      <c r="BV89" s="2">
        <v>9.0116018428384237E-2</v>
      </c>
      <c r="BW89" s="2">
        <v>0.57434177028231626</v>
      </c>
      <c r="BY89">
        <f t="shared" si="12"/>
        <v>-7.8047505320075636E-2</v>
      </c>
      <c r="BZ89">
        <f t="shared" si="13"/>
        <v>-0.18260605931010443</v>
      </c>
      <c r="CA89">
        <f t="shared" si="14"/>
        <v>1.0751653534369294</v>
      </c>
      <c r="CB89">
        <f t="shared" si="15"/>
        <v>0.58021842190445527</v>
      </c>
      <c r="CC89">
        <f t="shared" si="16"/>
        <v>0.10455855399002867</v>
      </c>
      <c r="CD89">
        <f t="shared" si="17"/>
        <v>0.23640848648743687</v>
      </c>
      <c r="CE89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4CC2-9D87-784E-A850-B11B620DCD3E}">
  <dimension ref="A1:AN89"/>
  <sheetViews>
    <sheetView workbookViewId="0">
      <selection activeCell="J21" sqref="J21"/>
    </sheetView>
  </sheetViews>
  <sheetFormatPr baseColWidth="10" defaultRowHeight="16" x14ac:dyDescent="0.2"/>
  <cols>
    <col min="1" max="1" width="21" bestFit="1" customWidth="1"/>
    <col min="2" max="27" width="12.83203125" bestFit="1" customWidth="1"/>
    <col min="29" max="30" width="12.83203125" bestFit="1" customWidth="1"/>
    <col min="31" max="32" width="12.1640625" bestFit="1" customWidth="1"/>
    <col min="33" max="33" width="12.83203125" bestFit="1" customWidth="1"/>
    <col min="34" max="34" width="12.1640625" bestFit="1" customWidth="1"/>
    <col min="35" max="35" width="21" bestFit="1" customWidth="1"/>
    <col min="38" max="38" width="21" bestFit="1" customWidth="1"/>
    <col min="39" max="39" width="12.83203125" bestFit="1" customWidth="1"/>
    <col min="40" max="40" width="12.1640625" bestFit="1" customWidth="1"/>
  </cols>
  <sheetData>
    <row r="1" spans="1:40" x14ac:dyDescent="0.2">
      <c r="A1" t="s">
        <v>0</v>
      </c>
      <c r="B1" t="s">
        <v>139</v>
      </c>
      <c r="C1" t="s">
        <v>141</v>
      </c>
      <c r="D1" t="s">
        <v>143</v>
      </c>
      <c r="E1" t="s">
        <v>145</v>
      </c>
      <c r="F1" t="s">
        <v>147</v>
      </c>
      <c r="G1" t="s">
        <v>149</v>
      </c>
      <c r="H1" t="s">
        <v>151</v>
      </c>
      <c r="I1" t="s">
        <v>153</v>
      </c>
      <c r="J1" t="s">
        <v>155</v>
      </c>
      <c r="K1" t="s">
        <v>157</v>
      </c>
      <c r="L1" t="s">
        <v>159</v>
      </c>
      <c r="M1" t="s">
        <v>161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  <c r="Y1" t="s">
        <v>255</v>
      </c>
      <c r="Z1" t="s">
        <v>256</v>
      </c>
      <c r="AA1" t="s">
        <v>257</v>
      </c>
      <c r="AL1" t="s">
        <v>131</v>
      </c>
      <c r="AM1" t="s">
        <v>129</v>
      </c>
      <c r="AN1" t="s">
        <v>130</v>
      </c>
    </row>
    <row r="2" spans="1:40" x14ac:dyDescent="0.2">
      <c r="A2" t="s">
        <v>17</v>
      </c>
      <c r="B2" t="s">
        <v>206</v>
      </c>
      <c r="C2" t="s">
        <v>207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258</v>
      </c>
      <c r="T2" t="s">
        <v>259</v>
      </c>
      <c r="U2" t="s">
        <v>260</v>
      </c>
      <c r="V2" t="s">
        <v>261</v>
      </c>
      <c r="W2" t="s">
        <v>262</v>
      </c>
      <c r="X2" t="s">
        <v>263</v>
      </c>
      <c r="Y2" t="s">
        <v>264</v>
      </c>
      <c r="Z2" t="s">
        <v>265</v>
      </c>
      <c r="AA2" t="s">
        <v>266</v>
      </c>
      <c r="AL2" t="s">
        <v>124</v>
      </c>
      <c r="AM2">
        <v>-0.76579803478352293</v>
      </c>
      <c r="AN2">
        <v>1.8381341662598527</v>
      </c>
    </row>
    <row r="3" spans="1:40" x14ac:dyDescent="0.2">
      <c r="A3" t="s">
        <v>27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L3" t="s">
        <v>123</v>
      </c>
      <c r="AM3">
        <v>-0.84008300465653152</v>
      </c>
      <c r="AN3">
        <v>1.7116341764146927</v>
      </c>
    </row>
    <row r="4" spans="1:40" x14ac:dyDescent="0.2">
      <c r="A4" t="s">
        <v>28</v>
      </c>
      <c r="B4" t="s">
        <v>236</v>
      </c>
      <c r="C4" t="s">
        <v>236</v>
      </c>
      <c r="D4" t="s">
        <v>236</v>
      </c>
      <c r="E4" t="s">
        <v>236</v>
      </c>
      <c r="F4" t="s">
        <v>236</v>
      </c>
      <c r="G4" t="s">
        <v>236</v>
      </c>
      <c r="H4" t="s">
        <v>236</v>
      </c>
      <c r="I4" t="s">
        <v>236</v>
      </c>
      <c r="J4" t="s">
        <v>236</v>
      </c>
      <c r="K4" t="s">
        <v>236</v>
      </c>
      <c r="L4" t="s">
        <v>236</v>
      </c>
      <c r="M4" t="s">
        <v>236</v>
      </c>
      <c r="N4" t="s">
        <v>236</v>
      </c>
      <c r="O4" t="s">
        <v>236</v>
      </c>
      <c r="P4" t="s">
        <v>236</v>
      </c>
      <c r="Q4" t="s">
        <v>236</v>
      </c>
      <c r="R4" t="s">
        <v>236</v>
      </c>
      <c r="S4" t="s">
        <v>236</v>
      </c>
      <c r="T4" t="s">
        <v>236</v>
      </c>
      <c r="U4" t="s">
        <v>236</v>
      </c>
      <c r="V4" t="s">
        <v>236</v>
      </c>
      <c r="W4" t="s">
        <v>236</v>
      </c>
      <c r="X4" t="s">
        <v>236</v>
      </c>
      <c r="Y4" t="s">
        <v>236</v>
      </c>
      <c r="Z4" t="s">
        <v>236</v>
      </c>
      <c r="AA4" t="s">
        <v>236</v>
      </c>
      <c r="AL4" t="s">
        <v>125</v>
      </c>
      <c r="AM4">
        <v>-0.75813030402565562</v>
      </c>
      <c r="AN4">
        <v>1.4369505249523935</v>
      </c>
    </row>
    <row r="5" spans="1:40" x14ac:dyDescent="0.2">
      <c r="A5" t="s">
        <v>30</v>
      </c>
      <c r="B5" t="s">
        <v>32</v>
      </c>
      <c r="C5" t="s">
        <v>33</v>
      </c>
      <c r="D5" t="s">
        <v>32</v>
      </c>
      <c r="E5" t="s">
        <v>31</v>
      </c>
      <c r="F5" t="s">
        <v>31</v>
      </c>
      <c r="G5" t="s">
        <v>31</v>
      </c>
      <c r="H5" t="s">
        <v>33</v>
      </c>
      <c r="I5" t="s">
        <v>32</v>
      </c>
      <c r="J5" t="s">
        <v>31</v>
      </c>
      <c r="K5" t="s">
        <v>31</v>
      </c>
      <c r="L5" t="s">
        <v>31</v>
      </c>
      <c r="M5" t="s">
        <v>237</v>
      </c>
      <c r="N5" t="s">
        <v>31</v>
      </c>
      <c r="O5" t="s">
        <v>32</v>
      </c>
      <c r="P5" t="s">
        <v>32</v>
      </c>
      <c r="Q5" t="s">
        <v>34</v>
      </c>
      <c r="R5" t="s">
        <v>31</v>
      </c>
      <c r="S5" t="s">
        <v>31</v>
      </c>
      <c r="T5" t="s">
        <v>32</v>
      </c>
      <c r="U5" t="s">
        <v>32</v>
      </c>
      <c r="V5" t="s">
        <v>34</v>
      </c>
      <c r="W5" t="s">
        <v>31</v>
      </c>
      <c r="X5" t="s">
        <v>34</v>
      </c>
      <c r="Y5" t="s">
        <v>31</v>
      </c>
      <c r="Z5" t="s">
        <v>31</v>
      </c>
      <c r="AA5" t="s">
        <v>31</v>
      </c>
      <c r="AL5" t="s">
        <v>64</v>
      </c>
      <c r="AM5">
        <v>-0.72544124462370452</v>
      </c>
      <c r="AN5">
        <v>1.3349877607259995</v>
      </c>
    </row>
    <row r="6" spans="1:40" x14ac:dyDescent="0.2">
      <c r="A6" t="s">
        <v>35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L6" t="s">
        <v>92</v>
      </c>
      <c r="AM6">
        <v>0.4640197510202696</v>
      </c>
      <c r="AN6">
        <v>1.3151657323200814</v>
      </c>
    </row>
    <row r="7" spans="1:40" x14ac:dyDescent="0.2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39</v>
      </c>
      <c r="I7">
        <v>0</v>
      </c>
      <c r="J7">
        <v>0</v>
      </c>
      <c r="K7">
        <v>0</v>
      </c>
      <c r="L7">
        <v>0</v>
      </c>
      <c r="M7">
        <v>0</v>
      </c>
      <c r="N7" t="s">
        <v>40</v>
      </c>
      <c r="O7" t="s">
        <v>40</v>
      </c>
      <c r="P7">
        <v>0</v>
      </c>
      <c r="Q7" t="s">
        <v>40</v>
      </c>
      <c r="R7" t="s">
        <v>40</v>
      </c>
      <c r="S7" t="s">
        <v>40</v>
      </c>
      <c r="T7" t="s">
        <v>40</v>
      </c>
      <c r="U7">
        <v>0</v>
      </c>
      <c r="V7" t="s">
        <v>40</v>
      </c>
      <c r="W7" t="s">
        <v>40</v>
      </c>
      <c r="X7">
        <v>0</v>
      </c>
      <c r="Y7" t="s">
        <v>40</v>
      </c>
      <c r="Z7">
        <v>0</v>
      </c>
      <c r="AA7" t="s">
        <v>40</v>
      </c>
      <c r="AL7" t="s">
        <v>122</v>
      </c>
      <c r="AM7">
        <v>-0.61821374753025271</v>
      </c>
      <c r="AN7">
        <v>1.1998986911453637</v>
      </c>
    </row>
    <row r="8" spans="1:40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L8" t="s">
        <v>62</v>
      </c>
      <c r="AM8">
        <v>-0.63527829988243345</v>
      </c>
      <c r="AN8">
        <v>1.156098552600987</v>
      </c>
    </row>
    <row r="9" spans="1:40" x14ac:dyDescent="0.2">
      <c r="A9" t="s">
        <v>43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L9" t="s">
        <v>68</v>
      </c>
      <c r="AM9">
        <v>-0.63103490670877638</v>
      </c>
      <c r="AN9">
        <v>1.0555726521030462</v>
      </c>
    </row>
    <row r="10" spans="1:40" x14ac:dyDescent="0.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L10" t="s">
        <v>81</v>
      </c>
      <c r="AM10">
        <v>-0.80093045600563106</v>
      </c>
      <c r="AN10">
        <v>1.0216656082600104</v>
      </c>
    </row>
    <row r="11" spans="1:40" x14ac:dyDescent="0.2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 t="s">
        <v>241</v>
      </c>
      <c r="AD11" t="s">
        <v>243</v>
      </c>
      <c r="AE11" t="s">
        <v>127</v>
      </c>
      <c r="AF11" t="s">
        <v>128</v>
      </c>
      <c r="AG11" t="s">
        <v>129</v>
      </c>
      <c r="AH11" t="s">
        <v>130</v>
      </c>
      <c r="AI11" t="s">
        <v>131</v>
      </c>
      <c r="AL11" t="s">
        <v>87</v>
      </c>
      <c r="AM11">
        <v>-0.66605098420102216</v>
      </c>
      <c r="AN11">
        <v>0.97346349509729535</v>
      </c>
    </row>
    <row r="12" spans="1:40" x14ac:dyDescent="0.2">
      <c r="A12" t="s">
        <v>48</v>
      </c>
      <c r="B12" s="1">
        <v>0.24286135527610711</v>
      </c>
      <c r="C12" s="1">
        <v>1.9564484916976421</v>
      </c>
      <c r="D12" s="1">
        <v>-3.4535778279741684E-2</v>
      </c>
      <c r="E12" s="1">
        <v>0.3575633996700941</v>
      </c>
      <c r="F12" s="1">
        <v>-0.20122158682514288</v>
      </c>
      <c r="G12" s="1">
        <v>-3.1026016865052984E-2</v>
      </c>
      <c r="H12" s="1">
        <v>-0.11510661648916315</v>
      </c>
      <c r="I12" s="1" t="s">
        <v>67</v>
      </c>
      <c r="J12" s="1">
        <v>-0.59164017565709648</v>
      </c>
      <c r="K12" s="1">
        <v>0.23016974261386797</v>
      </c>
      <c r="L12" s="1">
        <v>4.7356680322237471E-2</v>
      </c>
      <c r="M12" s="1">
        <v>1.7179007118624634</v>
      </c>
      <c r="N12" s="2">
        <v>0.66899682047650444</v>
      </c>
      <c r="O12" s="2">
        <v>-0.2527628097271869</v>
      </c>
      <c r="P12" s="2">
        <v>1.8981016349499766</v>
      </c>
      <c r="Q12" s="2">
        <v>-8.8500927264844001E-2</v>
      </c>
      <c r="R12" s="2">
        <v>0.99445149474599659</v>
      </c>
      <c r="S12" s="2">
        <v>0.19271203245364849</v>
      </c>
      <c r="T12" s="2">
        <v>-0.50910123895210746</v>
      </c>
      <c r="U12" s="2">
        <v>-0.2637556639753898</v>
      </c>
      <c r="V12" s="2">
        <v>0.27187003046661651</v>
      </c>
      <c r="W12" s="2">
        <v>0.74223870172530648</v>
      </c>
      <c r="X12" s="2">
        <v>-0.54059030558904853</v>
      </c>
      <c r="Y12" s="2">
        <v>0.24955484719896148</v>
      </c>
      <c r="Z12" s="2">
        <v>3.0310969715664666</v>
      </c>
      <c r="AA12" s="2">
        <v>3.9545424718393565</v>
      </c>
      <c r="AC12">
        <f t="shared" ref="AC12:AC43" si="0">AVERAGE(B12:M12)</f>
        <v>0.32534274612056502</v>
      </c>
      <c r="AD12">
        <f t="shared" ref="AD12:AD43" si="1">AVERAGE(N12:AA12)</f>
        <v>0.73920386142244698</v>
      </c>
      <c r="AE12">
        <f t="shared" ref="AE12:AE43" si="2">2^(AC12 - AD12)</f>
        <v>0.75061180482880929</v>
      </c>
      <c r="AF12">
        <f t="shared" ref="AF12:AF43" si="3">_xlfn.T.TEST(B12:M12,N12:AA12, 2, 3)</f>
        <v>0.34889356242616443</v>
      </c>
      <c r="AG12">
        <f t="shared" ref="AG12:AG43" si="4">LOG(AE12,2)</f>
        <v>-0.41386111530188185</v>
      </c>
      <c r="AH12">
        <f t="shared" ref="AH12:AH43" si="5">-LOG(AF12,10)</f>
        <v>0.45730704381811643</v>
      </c>
      <c r="AI12" t="s">
        <v>48</v>
      </c>
      <c r="AL12" t="s">
        <v>98</v>
      </c>
      <c r="AM12">
        <v>0.36827893914876664</v>
      </c>
      <c r="AN12">
        <v>0.96191887954399946</v>
      </c>
    </row>
    <row r="13" spans="1:40" x14ac:dyDescent="0.2">
      <c r="A13" t="s">
        <v>49</v>
      </c>
      <c r="B13" s="1">
        <v>1.1640482081631189</v>
      </c>
      <c r="C13" s="1">
        <v>1.5629609591816993</v>
      </c>
      <c r="D13" s="1">
        <v>1.9163733370506488</v>
      </c>
      <c r="E13" s="1">
        <v>-0.40514284687408592</v>
      </c>
      <c r="F13" s="1">
        <v>0.44625528610442511</v>
      </c>
      <c r="G13" s="1">
        <v>6.8730359251247097E-2</v>
      </c>
      <c r="H13" s="1">
        <v>0.33991918595391657</v>
      </c>
      <c r="I13" s="1">
        <v>-0.4949816036879795</v>
      </c>
      <c r="J13" s="1">
        <v>-0.35612936718148847</v>
      </c>
      <c r="K13" s="1">
        <v>1.6721577423485106</v>
      </c>
      <c r="L13" s="1">
        <v>0.66055399961765748</v>
      </c>
      <c r="M13" s="1">
        <v>1.2841550064658904</v>
      </c>
      <c r="N13" s="2">
        <v>-6.3114944869779768E-2</v>
      </c>
      <c r="O13" s="2">
        <v>-0.34697296282094475</v>
      </c>
      <c r="P13" s="2">
        <v>1.5081647246524552</v>
      </c>
      <c r="Q13" s="2">
        <v>1.0096202507377381</v>
      </c>
      <c r="R13" s="2">
        <v>2.0404915112113851</v>
      </c>
      <c r="S13" s="2">
        <v>-0.14921306833825676</v>
      </c>
      <c r="T13" s="2">
        <v>-0.50578432437111076</v>
      </c>
      <c r="U13" s="2">
        <v>1.7512470992082352</v>
      </c>
      <c r="V13" s="2">
        <v>0.32167999336372621</v>
      </c>
      <c r="W13" s="2">
        <v>0.79872392530122927</v>
      </c>
      <c r="X13" s="2">
        <v>-0.55761613113689279</v>
      </c>
      <c r="Y13" s="2">
        <v>1.092800028381065</v>
      </c>
      <c r="Z13" s="2">
        <v>2.0075605069388454</v>
      </c>
      <c r="AA13" s="2">
        <v>3.0826467425821051</v>
      </c>
      <c r="AC13">
        <f t="shared" si="0"/>
        <v>0.65490835553279647</v>
      </c>
      <c r="AD13">
        <f t="shared" si="1"/>
        <v>0.85644523934569994</v>
      </c>
      <c r="AE13">
        <f t="shared" si="2"/>
        <v>0.86962367116582096</v>
      </c>
      <c r="AF13">
        <f t="shared" si="3"/>
        <v>0.60926470333891158</v>
      </c>
      <c r="AG13">
        <f t="shared" si="4"/>
        <v>-0.20153688381290341</v>
      </c>
      <c r="AH13">
        <f t="shared" si="5"/>
        <v>0.21519398122095185</v>
      </c>
      <c r="AI13" t="s">
        <v>49</v>
      </c>
      <c r="AL13" t="s">
        <v>93</v>
      </c>
      <c r="AM13">
        <v>0.51160524385080475</v>
      </c>
      <c r="AN13">
        <v>0.91716184964563263</v>
      </c>
    </row>
    <row r="14" spans="1:40" x14ac:dyDescent="0.2">
      <c r="A14" t="s">
        <v>50</v>
      </c>
      <c r="B14" s="1">
        <v>-1.0400714656486358</v>
      </c>
      <c r="C14" s="1">
        <v>2.4942817631279941</v>
      </c>
      <c r="D14" s="1">
        <v>-0.79240734735256602</v>
      </c>
      <c r="E14" s="1">
        <v>-1.2146607082468259</v>
      </c>
      <c r="F14" s="1">
        <v>-1.8594043436622658</v>
      </c>
      <c r="G14" s="1">
        <v>2.7100171150027541</v>
      </c>
      <c r="H14" s="1">
        <v>-1.5848051944615793</v>
      </c>
      <c r="I14" s="1">
        <v>-1.6254456207642582</v>
      </c>
      <c r="J14" s="1">
        <v>-0.89552731709024824</v>
      </c>
      <c r="K14" s="1">
        <v>-1.9878543677634981</v>
      </c>
      <c r="L14" s="1">
        <v>-0.67948477271337837</v>
      </c>
      <c r="M14" s="1">
        <v>-0.88187665836634821</v>
      </c>
      <c r="N14" s="2">
        <v>-0.79598540775779258</v>
      </c>
      <c r="O14" s="2">
        <v>-0.52127412806037665</v>
      </c>
      <c r="P14" s="2">
        <v>1.6615550068771325</v>
      </c>
      <c r="Q14" s="2">
        <v>0.36470882903884239</v>
      </c>
      <c r="R14" s="2">
        <v>1.0900089703558324</v>
      </c>
      <c r="S14" s="2">
        <v>-1.2363243864843116</v>
      </c>
      <c r="T14" s="2">
        <v>-1.0661225007522837</v>
      </c>
      <c r="U14" s="2">
        <v>-1.1383760405112575</v>
      </c>
      <c r="V14" s="2">
        <v>-1.4685908561071177</v>
      </c>
      <c r="W14" s="2">
        <v>0.45523091941408433</v>
      </c>
      <c r="X14" s="2">
        <v>-1.7611674253130776</v>
      </c>
      <c r="Y14" s="2">
        <v>2.4109884835267623</v>
      </c>
      <c r="Z14" s="2">
        <v>0.13819307821183036</v>
      </c>
      <c r="AA14" s="2" t="s">
        <v>67</v>
      </c>
      <c r="AC14">
        <f t="shared" si="0"/>
        <v>-0.61310324316157128</v>
      </c>
      <c r="AD14">
        <f t="shared" si="1"/>
        <v>-0.14362734288936405</v>
      </c>
      <c r="AE14">
        <f t="shared" si="2"/>
        <v>0.72222691944090667</v>
      </c>
      <c r="AF14">
        <f t="shared" si="3"/>
        <v>0.42376287645983646</v>
      </c>
      <c r="AG14">
        <f t="shared" si="4"/>
        <v>-0.4694759002722072</v>
      </c>
      <c r="AH14">
        <f t="shared" si="5"/>
        <v>0.3728770921151372</v>
      </c>
      <c r="AI14" t="s">
        <v>50</v>
      </c>
      <c r="AL14" t="s">
        <v>66</v>
      </c>
      <c r="AM14">
        <v>-0.62581974336703816</v>
      </c>
      <c r="AN14">
        <v>0.87824716259561986</v>
      </c>
    </row>
    <row r="15" spans="1:40" x14ac:dyDescent="0.2">
      <c r="A15" t="s">
        <v>51</v>
      </c>
      <c r="B15" s="1">
        <v>-0.1508778386118913</v>
      </c>
      <c r="C15" s="1">
        <v>0.85776389555562771</v>
      </c>
      <c r="D15" s="1">
        <v>-0.84185256577454037</v>
      </c>
      <c r="E15" s="1">
        <v>-0.71694406939271027</v>
      </c>
      <c r="F15" s="1">
        <v>-0.97209365959143024</v>
      </c>
      <c r="G15" s="1">
        <v>-2.0194454535001203</v>
      </c>
      <c r="H15" s="1">
        <v>-0.35639435708195244</v>
      </c>
      <c r="I15" s="1">
        <v>-0.47629672437699971</v>
      </c>
      <c r="J15" s="1">
        <v>-1.0257888623169278</v>
      </c>
      <c r="K15" s="1">
        <v>-0.95455895092928778</v>
      </c>
      <c r="L15" s="1">
        <v>-0.72009846078723561</v>
      </c>
      <c r="M15" s="1">
        <v>-0.11337961579053069</v>
      </c>
      <c r="N15" s="2">
        <v>-1.4909313341198906</v>
      </c>
      <c r="O15" s="2">
        <v>-1.1016839062782506</v>
      </c>
      <c r="P15" s="2">
        <v>-0.9645061943640757</v>
      </c>
      <c r="Q15" s="2">
        <v>-1.0878379440770947</v>
      </c>
      <c r="R15" s="2">
        <v>0.38638290986554336</v>
      </c>
      <c r="S15" s="2">
        <v>-0.66422835806771063</v>
      </c>
      <c r="T15" s="2">
        <v>-1.1706636219186617</v>
      </c>
      <c r="U15" s="2">
        <v>-1.2900323395405109</v>
      </c>
      <c r="V15" s="2">
        <v>-1.4267044199185208</v>
      </c>
      <c r="W15" s="2">
        <v>1.3445792056915895</v>
      </c>
      <c r="X15" s="2">
        <v>-0.36597736229833766</v>
      </c>
      <c r="Y15" s="2">
        <v>1.9657938704932321E-2</v>
      </c>
      <c r="Z15" s="2">
        <v>2.1684940992896595</v>
      </c>
      <c r="AA15" s="2">
        <v>1.6786538877105794</v>
      </c>
      <c r="AC15">
        <f t="shared" si="0"/>
        <v>-0.62416388854983329</v>
      </c>
      <c r="AD15">
        <f t="shared" si="1"/>
        <v>-0.28319981709433939</v>
      </c>
      <c r="AE15">
        <f t="shared" si="2"/>
        <v>0.78951354831901677</v>
      </c>
      <c r="AF15">
        <f t="shared" si="3"/>
        <v>0.38338863910196397</v>
      </c>
      <c r="AG15">
        <f t="shared" si="4"/>
        <v>-0.34096407145549401</v>
      </c>
      <c r="AH15">
        <f t="shared" si="5"/>
        <v>0.41636076065052186</v>
      </c>
      <c r="AI15" t="s">
        <v>51</v>
      </c>
      <c r="AL15" t="s">
        <v>106</v>
      </c>
      <c r="AM15">
        <v>0.61827717897352075</v>
      </c>
      <c r="AN15">
        <v>0.85430121335952047</v>
      </c>
    </row>
    <row r="16" spans="1:40" x14ac:dyDescent="0.2">
      <c r="A16" t="s">
        <v>52</v>
      </c>
      <c r="B16" s="1">
        <v>-1.1092466402077363</v>
      </c>
      <c r="C16" s="1">
        <v>1.1976087170075815</v>
      </c>
      <c r="D16" s="1">
        <v>1.431555290997002</v>
      </c>
      <c r="E16" s="1">
        <v>-0.31417713083267323</v>
      </c>
      <c r="F16" s="1">
        <v>1.5905831312648919</v>
      </c>
      <c r="G16" s="1">
        <v>-0.38230683872703625</v>
      </c>
      <c r="H16" s="1">
        <v>1.240954421826886</v>
      </c>
      <c r="I16" s="1">
        <v>-0.50620289391280326</v>
      </c>
      <c r="J16" s="1">
        <v>-0.91170844926378336</v>
      </c>
      <c r="K16" s="1">
        <v>-5.3046818194834255E-2</v>
      </c>
      <c r="L16" s="1">
        <v>-0.25441574616177531</v>
      </c>
      <c r="M16" s="1">
        <v>-1.5352877932672633</v>
      </c>
      <c r="N16" s="2">
        <v>-1.1859423457604767</v>
      </c>
      <c r="O16" s="2">
        <v>0.90907024648681722</v>
      </c>
      <c r="P16" s="2">
        <v>0.1546005838484823</v>
      </c>
      <c r="Q16" s="2">
        <v>1.2083230966361269E-2</v>
      </c>
      <c r="R16" s="2">
        <v>-0.11562750720792569</v>
      </c>
      <c r="S16" s="2">
        <v>-1.0905256378589467</v>
      </c>
      <c r="T16" s="2">
        <v>-0.90894704428402662</v>
      </c>
      <c r="U16" s="2">
        <v>-0.9070479743337867</v>
      </c>
      <c r="V16" s="2">
        <v>-0.7418049690840367</v>
      </c>
      <c r="W16" s="2">
        <v>0.40981012011571327</v>
      </c>
      <c r="X16" s="2">
        <v>-0.48108405790781572</v>
      </c>
      <c r="Y16" s="2">
        <v>0.35565592103987875</v>
      </c>
      <c r="Z16" s="2">
        <v>-4.130147719585775E-2</v>
      </c>
      <c r="AA16" s="2">
        <v>-0.11687036392337674</v>
      </c>
      <c r="AC16">
        <f t="shared" si="0"/>
        <v>3.2859104210704669E-2</v>
      </c>
      <c r="AD16">
        <f t="shared" si="1"/>
        <v>-0.2677093767927855</v>
      </c>
      <c r="AE16">
        <f t="shared" si="2"/>
        <v>1.2316296303179826</v>
      </c>
      <c r="AF16">
        <f t="shared" si="3"/>
        <v>0.40401969205079846</v>
      </c>
      <c r="AG16">
        <f t="shared" si="4"/>
        <v>0.3005684810034901</v>
      </c>
      <c r="AH16">
        <f t="shared" si="5"/>
        <v>0.39359746671964624</v>
      </c>
      <c r="AI16" t="s">
        <v>52</v>
      </c>
      <c r="AL16" t="s">
        <v>84</v>
      </c>
      <c r="AM16">
        <v>-0.66501298698980416</v>
      </c>
      <c r="AN16">
        <v>0.79771626360024384</v>
      </c>
    </row>
    <row r="17" spans="1:40" x14ac:dyDescent="0.2">
      <c r="A17" t="s">
        <v>53</v>
      </c>
      <c r="B17" s="1">
        <v>-2.9745588710062849</v>
      </c>
      <c r="C17" s="1">
        <v>-2.1024425561944549</v>
      </c>
      <c r="D17" s="1">
        <v>-1.2817681711710467</v>
      </c>
      <c r="E17" s="1">
        <v>-2.1045767402830045</v>
      </c>
      <c r="F17" s="1">
        <v>-0.69759292371028558</v>
      </c>
      <c r="G17" s="1">
        <v>-2.8459496216410947</v>
      </c>
      <c r="H17" s="1">
        <v>-1.8141380297372092</v>
      </c>
      <c r="I17" s="1">
        <v>-2.3064906365060347</v>
      </c>
      <c r="J17" s="1">
        <v>-2.8684556258907445</v>
      </c>
      <c r="K17" s="1">
        <v>-2.6850552456327641</v>
      </c>
      <c r="L17" s="1">
        <v>-2.2633422535689443</v>
      </c>
      <c r="M17" s="1">
        <v>-2.1320136253189341</v>
      </c>
      <c r="N17" s="2">
        <v>-3.1283713520142848</v>
      </c>
      <c r="O17" s="2">
        <v>-2.623083212783154</v>
      </c>
      <c r="P17" s="2">
        <v>-2.4639855276982541</v>
      </c>
      <c r="Q17" s="2">
        <v>-2.5559993054907144</v>
      </c>
      <c r="R17" s="2">
        <v>-1.6622569463547043</v>
      </c>
      <c r="S17" s="2">
        <v>-2.6458576851928344</v>
      </c>
      <c r="T17" s="2">
        <v>-3.7561437555006245</v>
      </c>
      <c r="U17" s="2">
        <v>-3.1054187956091246</v>
      </c>
      <c r="V17" s="2">
        <v>-3.2242209181192543</v>
      </c>
      <c r="W17" s="2">
        <v>-1.2619314127004244</v>
      </c>
      <c r="X17" s="2">
        <v>-1.9240437543746343</v>
      </c>
      <c r="Y17" s="2">
        <v>-1.1338342404891744</v>
      </c>
      <c r="Z17" s="2">
        <v>-1.7318064973792746</v>
      </c>
      <c r="AA17" s="2">
        <v>-1.4295093061237245</v>
      </c>
      <c r="AC17">
        <f t="shared" si="0"/>
        <v>-2.173032025055067</v>
      </c>
      <c r="AD17">
        <f t="shared" si="1"/>
        <v>-2.3318901935592988</v>
      </c>
      <c r="AE17">
        <f t="shared" si="2"/>
        <v>1.1164032028753614</v>
      </c>
      <c r="AF17">
        <f t="shared" si="3"/>
        <v>0.59172638168937353</v>
      </c>
      <c r="AG17">
        <f t="shared" si="4"/>
        <v>0.15885816850423187</v>
      </c>
      <c r="AH17">
        <f t="shared" si="5"/>
        <v>0.22787906758845369</v>
      </c>
      <c r="AI17" t="s">
        <v>53</v>
      </c>
      <c r="AL17" t="s">
        <v>95</v>
      </c>
      <c r="AM17">
        <v>0.50730446156683673</v>
      </c>
      <c r="AN17">
        <v>0.76799732786773478</v>
      </c>
    </row>
    <row r="18" spans="1:40" x14ac:dyDescent="0.2">
      <c r="A18" t="s">
        <v>54</v>
      </c>
      <c r="B18" s="1">
        <v>-0.80044862239582593</v>
      </c>
      <c r="C18" s="1">
        <v>2.2312192251368441</v>
      </c>
      <c r="D18" s="1">
        <v>0.50777556261851309</v>
      </c>
      <c r="E18" s="1">
        <v>-0.40149922275877792</v>
      </c>
      <c r="F18" s="1">
        <v>0.29248568442058309</v>
      </c>
      <c r="G18" s="1">
        <v>3.4464292090855038</v>
      </c>
      <c r="H18" s="1">
        <v>-1.2775771382905787</v>
      </c>
      <c r="I18" s="1">
        <v>3.250267035062436E-2</v>
      </c>
      <c r="J18" s="1">
        <v>1.3684532284059303</v>
      </c>
      <c r="K18" s="1">
        <v>-1.65303921244185</v>
      </c>
      <c r="L18" s="1">
        <v>1.1566576888420501</v>
      </c>
      <c r="M18" s="1">
        <v>2.9700262025078499</v>
      </c>
      <c r="N18" s="2">
        <v>1.3146577611821297</v>
      </c>
      <c r="O18" s="2">
        <v>0.46971286010960672</v>
      </c>
      <c r="P18" s="2">
        <v>-1.0814997285499204</v>
      </c>
      <c r="Q18" s="2">
        <v>1.4881468047061497</v>
      </c>
      <c r="R18" s="2">
        <v>-0.2275130745220233</v>
      </c>
      <c r="S18" s="2">
        <v>-0.73647671433712225</v>
      </c>
      <c r="T18" s="2">
        <v>0.20281557904416472</v>
      </c>
      <c r="U18" s="2">
        <v>-1.8228452328476501</v>
      </c>
      <c r="V18" s="2">
        <v>-0.58186387368613124</v>
      </c>
      <c r="W18" s="2">
        <v>0.69618418335344368</v>
      </c>
      <c r="X18" s="2">
        <v>-0.71520680267546033</v>
      </c>
      <c r="Y18" s="2">
        <v>1.2697846661901098</v>
      </c>
      <c r="Z18" s="2">
        <v>3.3697444488447896</v>
      </c>
      <c r="AA18" s="2">
        <v>0.94542570765971667</v>
      </c>
      <c r="AC18">
        <f t="shared" si="0"/>
        <v>0.65608210629007202</v>
      </c>
      <c r="AD18">
        <f t="shared" si="1"/>
        <v>0.32793332746227166</v>
      </c>
      <c r="AE18">
        <f t="shared" si="2"/>
        <v>1.2554014486663825</v>
      </c>
      <c r="AF18">
        <f t="shared" si="3"/>
        <v>0.58369617607726831</v>
      </c>
      <c r="AG18">
        <f t="shared" si="4"/>
        <v>0.32814877882780041</v>
      </c>
      <c r="AH18">
        <f t="shared" si="5"/>
        <v>0.23381315183971396</v>
      </c>
      <c r="AI18" t="s">
        <v>54</v>
      </c>
      <c r="AL18" t="s">
        <v>101</v>
      </c>
      <c r="AM18">
        <v>0.34846740560313716</v>
      </c>
      <c r="AN18">
        <v>0.69379855835493165</v>
      </c>
    </row>
    <row r="19" spans="1:40" x14ac:dyDescent="0.2">
      <c r="A19" t="s">
        <v>55</v>
      </c>
      <c r="B19" s="1">
        <v>-0.27405320305635472</v>
      </c>
      <c r="C19" s="1">
        <v>1.9520452161180553</v>
      </c>
      <c r="D19" s="1">
        <v>7.9354872597732259E-2</v>
      </c>
      <c r="E19" s="1">
        <v>0.7551862511618832</v>
      </c>
      <c r="F19" s="1">
        <v>1.0068077772352553</v>
      </c>
      <c r="G19" s="1">
        <v>0.8388644415697043</v>
      </c>
      <c r="H19" s="1">
        <v>-1.2013991125583883</v>
      </c>
      <c r="I19" s="1">
        <v>-1.0865366096653082</v>
      </c>
      <c r="J19" s="1">
        <v>-0.69406217915165835</v>
      </c>
      <c r="K19" s="1">
        <v>-1.5678836547365882</v>
      </c>
      <c r="L19" s="1">
        <v>-3.9294822984521249E-2</v>
      </c>
      <c r="M19" s="1">
        <v>-1.1879425855287082</v>
      </c>
      <c r="N19" s="2">
        <v>-2.7851670647288422</v>
      </c>
      <c r="O19" s="2">
        <v>1.9767598556323873</v>
      </c>
      <c r="P19" s="2">
        <v>0.76565370004514444</v>
      </c>
      <c r="Q19" s="2">
        <v>2.1151839454154278</v>
      </c>
      <c r="R19" s="2">
        <v>0.37149158695926143</v>
      </c>
      <c r="S19" s="2">
        <v>-2.3035515810682123</v>
      </c>
      <c r="T19" s="2">
        <v>0.85603885473090446</v>
      </c>
      <c r="U19" s="2">
        <v>-1.1429945778754727</v>
      </c>
      <c r="V19" s="2">
        <v>0.43841786111191738</v>
      </c>
      <c r="W19" s="2">
        <v>-0.62666971413353056</v>
      </c>
      <c r="X19" s="2">
        <v>2.4496323278467775</v>
      </c>
      <c r="Y19" s="2">
        <v>3.8076344377737077</v>
      </c>
      <c r="Z19" s="2">
        <v>-0.62894226860614955</v>
      </c>
      <c r="AA19" s="2">
        <v>1.0069706591937324</v>
      </c>
      <c r="AC19">
        <f t="shared" si="0"/>
        <v>-0.11824280074990805</v>
      </c>
      <c r="AD19">
        <f t="shared" si="1"/>
        <v>0.45003271587836091</v>
      </c>
      <c r="AE19">
        <f t="shared" si="2"/>
        <v>0.67442245800342138</v>
      </c>
      <c r="AF19">
        <f t="shared" si="3"/>
        <v>0.34018325755038947</v>
      </c>
      <c r="AG19">
        <f t="shared" si="4"/>
        <v>-0.56827551662826892</v>
      </c>
      <c r="AH19">
        <f t="shared" si="5"/>
        <v>0.4682870644224647</v>
      </c>
      <c r="AI19" t="s">
        <v>55</v>
      </c>
      <c r="AL19" t="s">
        <v>114</v>
      </c>
      <c r="AM19">
        <v>0.30634118089999873</v>
      </c>
      <c r="AN19">
        <v>0.67325515876533759</v>
      </c>
    </row>
    <row r="20" spans="1:40" x14ac:dyDescent="0.2">
      <c r="A20" t="s">
        <v>56</v>
      </c>
      <c r="B20" s="1">
        <v>-0.40339611002452869</v>
      </c>
      <c r="C20" s="1">
        <v>9.9004276371515321E-2</v>
      </c>
      <c r="D20" s="1">
        <v>-1.3987668360620038</v>
      </c>
      <c r="E20" s="1">
        <v>-2.3334753426338537</v>
      </c>
      <c r="F20" s="1">
        <v>-1.5169758041794037</v>
      </c>
      <c r="G20" s="1">
        <v>-1.5511602511542737</v>
      </c>
      <c r="H20" s="1">
        <v>-1.2830373998757643</v>
      </c>
      <c r="I20" s="1">
        <v>-1.1233866073163969</v>
      </c>
      <c r="J20" s="1">
        <v>-2.1669063913363367</v>
      </c>
      <c r="K20" s="1">
        <v>-2.4572146689200167</v>
      </c>
      <c r="L20" s="1">
        <v>-2.1011832045653671</v>
      </c>
      <c r="M20" s="1">
        <v>-3.9348210998080262</v>
      </c>
      <c r="N20" s="2">
        <v>-2.912237087876786</v>
      </c>
      <c r="O20" s="2">
        <v>-2.2324315489311255</v>
      </c>
      <c r="P20" s="2">
        <v>-2.3999508364163953</v>
      </c>
      <c r="Q20" s="2">
        <v>-2.6296962577511955</v>
      </c>
      <c r="R20" s="2">
        <v>-0.3642271763806576</v>
      </c>
      <c r="S20" s="2">
        <v>-2.1133043077073559</v>
      </c>
      <c r="T20" s="2">
        <v>-2.9839231436366553</v>
      </c>
      <c r="U20" s="2">
        <v>-3.5084192102495857</v>
      </c>
      <c r="V20" s="2">
        <v>-2.7923785748448857</v>
      </c>
      <c r="W20" s="2">
        <v>1.3017276841055143</v>
      </c>
      <c r="X20" s="2">
        <v>-0.91461080774899561</v>
      </c>
      <c r="Y20" s="2">
        <v>-0.69344476061327565</v>
      </c>
      <c r="Z20" s="2">
        <v>-0.18664049914046765</v>
      </c>
      <c r="AA20" s="2">
        <v>0.27409351220114264</v>
      </c>
      <c r="AC20">
        <f t="shared" si="0"/>
        <v>-1.6809432866253713</v>
      </c>
      <c r="AD20">
        <f t="shared" si="1"/>
        <v>-1.5825316439279085</v>
      </c>
      <c r="AE20">
        <f t="shared" si="2"/>
        <v>0.93406079424824839</v>
      </c>
      <c r="AF20">
        <f t="shared" si="3"/>
        <v>0.84351368126245208</v>
      </c>
      <c r="AG20">
        <f t="shared" si="4"/>
        <v>-9.8411642697462609E-2</v>
      </c>
      <c r="AH20">
        <f t="shared" si="5"/>
        <v>7.3907869033833035E-2</v>
      </c>
      <c r="AI20" t="s">
        <v>56</v>
      </c>
      <c r="AL20" t="s">
        <v>57</v>
      </c>
      <c r="AM20">
        <v>-0.56000582919072017</v>
      </c>
      <c r="AN20">
        <v>0.64208330784114886</v>
      </c>
    </row>
    <row r="21" spans="1:40" x14ac:dyDescent="0.2">
      <c r="A21" t="s">
        <v>57</v>
      </c>
      <c r="B21" s="1">
        <v>-0.48986976226159235</v>
      </c>
      <c r="C21" s="1">
        <v>1.5377229243615578</v>
      </c>
      <c r="D21" s="1">
        <v>1.1198916419780176</v>
      </c>
      <c r="E21" s="1">
        <v>-0.24841963190266736</v>
      </c>
      <c r="F21" s="1">
        <v>-0.27026177123673034</v>
      </c>
      <c r="G21" s="1">
        <v>-4.6570458225673184E-3</v>
      </c>
      <c r="H21" s="1">
        <v>0.50976763465106556</v>
      </c>
      <c r="I21" s="1">
        <v>2.2027532858869048</v>
      </c>
      <c r="J21" s="1">
        <v>-1.152360240232835</v>
      </c>
      <c r="K21" s="1">
        <v>8.4402883652617888E-2</v>
      </c>
      <c r="L21" s="1">
        <v>1.6604017803518849</v>
      </c>
      <c r="M21" s="1">
        <v>-0.90292564687355514</v>
      </c>
      <c r="N21" s="2">
        <v>2.3150408417350188</v>
      </c>
      <c r="O21" s="2">
        <v>3.3459492119683691</v>
      </c>
      <c r="P21" s="2">
        <v>1.0963287063936589</v>
      </c>
      <c r="Q21" s="2">
        <v>0.9554266269648608</v>
      </c>
      <c r="R21" s="2">
        <v>-0.98589776495567116</v>
      </c>
      <c r="S21" s="2">
        <v>2.2569928555791487</v>
      </c>
      <c r="T21" s="2">
        <v>0.77618002415935983</v>
      </c>
      <c r="U21" s="2">
        <v>1.7687817556734386</v>
      </c>
      <c r="V21" s="2">
        <v>0.22608309702258286</v>
      </c>
      <c r="W21" s="2">
        <v>0.43505804879683835</v>
      </c>
      <c r="X21" s="2">
        <v>1.3184011051694999</v>
      </c>
      <c r="Y21" s="2">
        <v>-0.81589259827851113</v>
      </c>
      <c r="Z21" s="2">
        <v>-5.2156868457323147E-2</v>
      </c>
      <c r="AA21" s="2">
        <v>-7.9359705123735136E-2</v>
      </c>
      <c r="AC21">
        <f t="shared" si="0"/>
        <v>0.33720383771267509</v>
      </c>
      <c r="AD21">
        <f t="shared" si="1"/>
        <v>0.89720966690339521</v>
      </c>
      <c r="AE21">
        <f t="shared" si="2"/>
        <v>0.67829942305822177</v>
      </c>
      <c r="AF21">
        <f t="shared" si="3"/>
        <v>0.2279904690997899</v>
      </c>
      <c r="AG21">
        <f t="shared" si="4"/>
        <v>-0.56000582919072017</v>
      </c>
      <c r="AH21">
        <f t="shared" si="5"/>
        <v>0.64208330784114886</v>
      </c>
      <c r="AI21" t="s">
        <v>57</v>
      </c>
      <c r="AL21" t="s">
        <v>121</v>
      </c>
      <c r="AM21">
        <v>0.63644679105679913</v>
      </c>
      <c r="AN21">
        <v>0.61951390462097056</v>
      </c>
    </row>
    <row r="22" spans="1:40" x14ac:dyDescent="0.2">
      <c r="A22" t="s">
        <v>58</v>
      </c>
      <c r="B22" s="1">
        <v>-1.4705132476539844</v>
      </c>
      <c r="C22" s="1">
        <v>-0.48375403103956449</v>
      </c>
      <c r="D22" s="1">
        <v>-0.58652332142135044</v>
      </c>
      <c r="E22" s="1">
        <v>-0.14124074103294346</v>
      </c>
      <c r="F22" s="1">
        <v>-1.7133398560113546</v>
      </c>
      <c r="G22" s="1">
        <v>-0.54445772811854842</v>
      </c>
      <c r="H22" s="1">
        <v>-2.0516045746026599</v>
      </c>
      <c r="I22" s="1">
        <v>-7.4541232116964562E-2</v>
      </c>
      <c r="J22" s="1">
        <v>-1.8567990110582864</v>
      </c>
      <c r="K22" s="1">
        <v>-1.0312361667285666</v>
      </c>
      <c r="L22" s="1">
        <v>-0.20518543121385358</v>
      </c>
      <c r="M22" s="1">
        <v>-1.0407145587422066</v>
      </c>
      <c r="N22" s="2">
        <v>0.26200502833936601</v>
      </c>
      <c r="O22" s="2">
        <v>0.43254308301150202</v>
      </c>
      <c r="P22" s="2">
        <v>-0.94939118601705508</v>
      </c>
      <c r="Q22" s="2">
        <v>0.87983591689679497</v>
      </c>
      <c r="R22" s="2">
        <v>-1.9268491738361049</v>
      </c>
      <c r="S22" s="2">
        <v>0.38194161732401699</v>
      </c>
      <c r="T22" s="2">
        <v>0.28182489033084501</v>
      </c>
      <c r="U22" s="2">
        <v>-0.93391190462754492</v>
      </c>
      <c r="V22" s="2">
        <v>-0.32253876512216001</v>
      </c>
      <c r="W22" s="2">
        <v>-1.4261351977478052</v>
      </c>
      <c r="X22" s="2">
        <v>-0.74407154569279499</v>
      </c>
      <c r="Y22" s="2">
        <v>-0.67358972823797003</v>
      </c>
      <c r="Z22" s="2">
        <v>-1.5600345692618451</v>
      </c>
      <c r="AA22" s="2">
        <v>-2.0816199300053451</v>
      </c>
      <c r="AC22">
        <f t="shared" si="0"/>
        <v>-0.93332582497835703</v>
      </c>
      <c r="AD22">
        <f t="shared" si="1"/>
        <v>-0.598570818903293</v>
      </c>
      <c r="AE22">
        <f t="shared" si="2"/>
        <v>0.79291877614547179</v>
      </c>
      <c r="AF22">
        <f t="shared" si="3"/>
        <v>0.31155664048122056</v>
      </c>
      <c r="AG22">
        <f t="shared" si="4"/>
        <v>-0.33475500607506409</v>
      </c>
      <c r="AH22">
        <f t="shared" si="5"/>
        <v>0.50646298780958154</v>
      </c>
      <c r="AI22" t="s">
        <v>58</v>
      </c>
      <c r="AL22" t="s">
        <v>86</v>
      </c>
      <c r="AM22">
        <v>0.17859181371513136</v>
      </c>
      <c r="AN22">
        <v>0.6086436656466454</v>
      </c>
    </row>
    <row r="23" spans="1:40" x14ac:dyDescent="0.2">
      <c r="A23" t="s">
        <v>59</v>
      </c>
      <c r="B23" s="1">
        <v>0.86734552546801513</v>
      </c>
      <c r="C23" s="1">
        <v>3.7083573524883753</v>
      </c>
      <c r="D23" s="1">
        <v>2.2808878990554553</v>
      </c>
      <c r="E23" s="1">
        <v>1.4650662722353851</v>
      </c>
      <c r="F23" s="1">
        <v>-0.11270699528452183</v>
      </c>
      <c r="G23" s="1">
        <v>1.7754978414691951</v>
      </c>
      <c r="H23" s="1">
        <v>-0.32081955580976312</v>
      </c>
      <c r="I23" s="1">
        <v>0.76583197255075786</v>
      </c>
      <c r="J23" s="1">
        <v>1.1249812081284278</v>
      </c>
      <c r="K23" s="1">
        <v>0.88345037650032787</v>
      </c>
      <c r="L23" s="1">
        <v>2.1732781333426177</v>
      </c>
      <c r="M23" s="1">
        <v>-0.17331768882227422</v>
      </c>
      <c r="N23" s="2">
        <v>0.78296820407440681</v>
      </c>
      <c r="O23" s="2">
        <v>0.7245976858315557</v>
      </c>
      <c r="P23" s="2">
        <v>3.1600521137607496</v>
      </c>
      <c r="Q23" s="2">
        <v>0.9690288649225558</v>
      </c>
      <c r="R23" s="2">
        <v>-0.18103472186235225</v>
      </c>
      <c r="S23" s="2">
        <v>1.8503305345774297</v>
      </c>
      <c r="T23" s="2">
        <v>0.58125765868129875</v>
      </c>
      <c r="U23" s="2">
        <v>1.9650240260758998</v>
      </c>
      <c r="V23" s="2">
        <v>8.3298569813975765E-2</v>
      </c>
      <c r="W23" s="2">
        <v>2.1081266165954995</v>
      </c>
      <c r="X23" s="2">
        <v>1.1630827296531159</v>
      </c>
      <c r="Y23" s="2">
        <v>-0.13060099649497126</v>
      </c>
      <c r="Z23" s="2">
        <v>1.9020965111907497</v>
      </c>
      <c r="AA23" s="2">
        <v>0.98384391572863472</v>
      </c>
      <c r="AC23">
        <f t="shared" si="0"/>
        <v>1.2031543617768332</v>
      </c>
      <c r="AD23">
        <f t="shared" si="1"/>
        <v>1.1401479794677536</v>
      </c>
      <c r="AE23">
        <f t="shared" si="2"/>
        <v>1.044640384217236</v>
      </c>
      <c r="AF23">
        <f t="shared" si="3"/>
        <v>0.88340321677585842</v>
      </c>
      <c r="AG23">
        <f t="shared" si="4"/>
        <v>6.3006382309079748E-2</v>
      </c>
      <c r="AH23">
        <f t="shared" si="5"/>
        <v>5.3841023658721947E-2</v>
      </c>
      <c r="AI23" t="s">
        <v>59</v>
      </c>
      <c r="AL23" t="s">
        <v>105</v>
      </c>
      <c r="AM23">
        <v>0.70861741349038887</v>
      </c>
      <c r="AN23">
        <v>0.57392691818585151</v>
      </c>
    </row>
    <row r="24" spans="1:40" x14ac:dyDescent="0.2">
      <c r="A24" t="s">
        <v>60</v>
      </c>
      <c r="B24" s="1">
        <v>0.23222536240504849</v>
      </c>
      <c r="C24" s="1">
        <v>3.9381474700021801</v>
      </c>
      <c r="D24" s="1">
        <v>1.4071483544543304</v>
      </c>
      <c r="E24" s="1">
        <v>3.5959526375881006</v>
      </c>
      <c r="F24" s="1">
        <v>1.3811986677660806</v>
      </c>
      <c r="G24" s="1">
        <v>0.48061870775172943</v>
      </c>
      <c r="H24" s="1">
        <v>2.5084495930904613</v>
      </c>
      <c r="I24" s="1">
        <v>3.743452099639109</v>
      </c>
      <c r="J24" s="1">
        <v>0.5939426706479779</v>
      </c>
      <c r="K24" s="1">
        <v>1.4096320785397289</v>
      </c>
      <c r="L24" s="1">
        <v>1.841496108679219</v>
      </c>
      <c r="M24" s="1">
        <v>2.3211372048395988</v>
      </c>
      <c r="N24" s="2">
        <v>2.8902235334915098</v>
      </c>
      <c r="O24" s="2">
        <v>4.4615273376027895</v>
      </c>
      <c r="P24" s="2">
        <v>0.71554462656839468</v>
      </c>
      <c r="Q24" s="2">
        <v>2.0700035829908598</v>
      </c>
      <c r="R24" s="2">
        <v>3.1123493372671196</v>
      </c>
      <c r="S24" s="2">
        <v>3.0418426705825499</v>
      </c>
      <c r="T24" s="2">
        <v>3.1045682310017195</v>
      </c>
      <c r="U24" s="2">
        <v>0.25437911340961666</v>
      </c>
      <c r="V24" s="2">
        <v>0.54361211152502065</v>
      </c>
      <c r="W24" s="2">
        <v>2.2886208445401897</v>
      </c>
      <c r="X24" s="2">
        <v>2.0363649567541495</v>
      </c>
      <c r="Y24" s="2">
        <v>2.2844488134907897</v>
      </c>
      <c r="Z24" s="2">
        <v>2.4445726009420197</v>
      </c>
      <c r="AA24" s="2">
        <v>1.6357889859939496</v>
      </c>
      <c r="AC24">
        <f t="shared" si="0"/>
        <v>1.9544500796169635</v>
      </c>
      <c r="AD24">
        <f t="shared" si="1"/>
        <v>2.2059890532971917</v>
      </c>
      <c r="AE24">
        <f t="shared" si="2"/>
        <v>0.83999987965941214</v>
      </c>
      <c r="AF24">
        <f t="shared" si="3"/>
        <v>0.60659734920581254</v>
      </c>
      <c r="AG24">
        <f t="shared" si="4"/>
        <v>-0.25153897368022837</v>
      </c>
      <c r="AH24">
        <f t="shared" si="5"/>
        <v>0.21709949186215657</v>
      </c>
      <c r="AI24" t="s">
        <v>60</v>
      </c>
      <c r="AL24" t="s">
        <v>65</v>
      </c>
      <c r="AM24">
        <v>-0.57613031839012285</v>
      </c>
      <c r="AN24">
        <v>0.56096485555725262</v>
      </c>
    </row>
    <row r="25" spans="1:40" x14ac:dyDescent="0.2">
      <c r="A25" t="s">
        <v>61</v>
      </c>
      <c r="B25" s="1">
        <v>0.43480639462187715</v>
      </c>
      <c r="C25" s="1">
        <v>0.97317771035205614</v>
      </c>
      <c r="D25" s="1">
        <v>0.65068050813401512</v>
      </c>
      <c r="E25" s="1">
        <v>0.20856538469155134</v>
      </c>
      <c r="F25" s="1">
        <v>0.64842997158298721</v>
      </c>
      <c r="G25" s="1">
        <v>0.93209750104341815</v>
      </c>
      <c r="H25" s="1">
        <v>1.6171820337530471</v>
      </c>
      <c r="I25" s="1">
        <v>-0.22063130857331997</v>
      </c>
      <c r="J25" s="1">
        <v>1.0685042475211621</v>
      </c>
      <c r="K25" s="1">
        <v>4.3494484616421563</v>
      </c>
      <c r="L25" s="1">
        <v>2.5263917957091264</v>
      </c>
      <c r="M25" s="1">
        <v>-1.6665113451256439</v>
      </c>
      <c r="N25" s="2">
        <v>0.36479055185146825</v>
      </c>
      <c r="O25" s="2">
        <v>0.61251193804067128</v>
      </c>
      <c r="P25" s="2">
        <v>0.10582475817990528</v>
      </c>
      <c r="Q25" s="2">
        <v>0.81389644231833636</v>
      </c>
      <c r="R25" s="2">
        <v>1.4904038783029963</v>
      </c>
      <c r="S25" s="2">
        <v>1.1814641906046863</v>
      </c>
      <c r="T25" s="2">
        <v>1.1503699032463564</v>
      </c>
      <c r="U25" s="2">
        <v>-0.46817861863992072</v>
      </c>
      <c r="V25" s="2">
        <v>1.2530627462038162</v>
      </c>
      <c r="W25" s="2">
        <v>4.1359448158149856</v>
      </c>
      <c r="X25" s="2">
        <v>1.6588020313199963</v>
      </c>
      <c r="Y25" s="2">
        <v>2.0779788237932566</v>
      </c>
      <c r="Z25" s="2">
        <v>0.40642865050163623</v>
      </c>
      <c r="AA25" s="2">
        <v>0.59423285630303324</v>
      </c>
      <c r="AC25">
        <f t="shared" si="0"/>
        <v>0.96017844627936944</v>
      </c>
      <c r="AD25">
        <f t="shared" si="1"/>
        <v>1.0983952119886589</v>
      </c>
      <c r="AE25">
        <f t="shared" si="2"/>
        <v>0.9086415823029903</v>
      </c>
      <c r="AF25">
        <f t="shared" si="3"/>
        <v>0.79142180004177631</v>
      </c>
      <c r="AG25">
        <f t="shared" si="4"/>
        <v>-0.13821676570928959</v>
      </c>
      <c r="AH25">
        <f t="shared" si="5"/>
        <v>0.10159199108357141</v>
      </c>
      <c r="AI25" t="s">
        <v>61</v>
      </c>
      <c r="AL25" t="s">
        <v>94</v>
      </c>
      <c r="AM25">
        <v>0.42560866899752697</v>
      </c>
      <c r="AN25">
        <v>0.55722491094433912</v>
      </c>
    </row>
    <row r="26" spans="1:40" x14ac:dyDescent="0.2">
      <c r="A26" t="s">
        <v>62</v>
      </c>
      <c r="B26" s="1">
        <v>-0.73912534292485166</v>
      </c>
      <c r="C26" s="1">
        <v>0.99989014316156033</v>
      </c>
      <c r="D26" s="1">
        <v>1.5190644130832713</v>
      </c>
      <c r="E26" s="1">
        <v>0.45993899024338436</v>
      </c>
      <c r="F26" s="1">
        <v>0.42114551303894837</v>
      </c>
      <c r="G26" s="1">
        <v>0.44818747733118336</v>
      </c>
      <c r="H26" s="1">
        <v>1.1508315982033881</v>
      </c>
      <c r="I26" s="1">
        <v>2.1602333311038397</v>
      </c>
      <c r="J26" s="1">
        <v>1.2599256663818248</v>
      </c>
      <c r="K26" s="1">
        <v>0.45562531298584186</v>
      </c>
      <c r="L26" s="1">
        <v>0.93783165680691682</v>
      </c>
      <c r="M26" s="1">
        <v>0.74322243731675386</v>
      </c>
      <c r="N26" s="2">
        <v>1.4481794747012797</v>
      </c>
      <c r="O26" s="2">
        <v>0.81445579041326988</v>
      </c>
      <c r="P26" s="2">
        <v>0.87133231079656981</v>
      </c>
      <c r="Q26" s="2">
        <v>2.3141389059181998</v>
      </c>
      <c r="R26" s="2">
        <v>2.0523064485498397</v>
      </c>
      <c r="S26" s="2">
        <v>1.2702321438248698</v>
      </c>
      <c r="T26" s="2">
        <v>2.3782680484638599</v>
      </c>
      <c r="U26" s="2">
        <v>0.74444323204055984</v>
      </c>
      <c r="V26" s="2" t="s">
        <v>67</v>
      </c>
      <c r="W26" s="2">
        <v>2.1039963893780498</v>
      </c>
      <c r="X26" s="2">
        <v>1.5237089913908797</v>
      </c>
      <c r="Y26" s="2">
        <v>3.1797212383856102</v>
      </c>
      <c r="Z26" s="2">
        <v>-0.32993557744146018</v>
      </c>
      <c r="AA26" s="2">
        <v>0.52260596517650981</v>
      </c>
      <c r="AC26">
        <f t="shared" si="0"/>
        <v>0.8180642663943386</v>
      </c>
      <c r="AD26">
        <f t="shared" si="1"/>
        <v>1.4533425662767721</v>
      </c>
      <c r="AE26">
        <f t="shared" si="2"/>
        <v>0.64381660876255153</v>
      </c>
      <c r="AF26">
        <f t="shared" si="3"/>
        <v>6.9807397514174807E-2</v>
      </c>
      <c r="AG26">
        <f t="shared" si="4"/>
        <v>-0.63527829988243345</v>
      </c>
      <c r="AH26">
        <f t="shared" si="5"/>
        <v>1.156098552600987</v>
      </c>
      <c r="AI26" t="s">
        <v>62</v>
      </c>
      <c r="AL26" t="s">
        <v>77</v>
      </c>
      <c r="AM26">
        <v>-0.26536236494753113</v>
      </c>
      <c r="AN26">
        <v>0.55495822325224797</v>
      </c>
    </row>
    <row r="27" spans="1:40" x14ac:dyDescent="0.2">
      <c r="A27" t="s">
        <v>63</v>
      </c>
      <c r="B27" s="1">
        <v>0.12899406402759217</v>
      </c>
      <c r="C27" s="1">
        <v>1.9249289655425161E-2</v>
      </c>
      <c r="D27" s="1">
        <v>1.9787923099621301</v>
      </c>
      <c r="E27" s="1">
        <v>-0.14846126351584088</v>
      </c>
      <c r="F27" s="1">
        <v>-0.63078423120441984</v>
      </c>
      <c r="G27" s="1">
        <v>0.5437368058568699</v>
      </c>
      <c r="H27" s="1">
        <v>1.1811872161046506</v>
      </c>
      <c r="I27" s="1">
        <v>1.532969552020065</v>
      </c>
      <c r="J27" s="1">
        <v>-0.65187077210448408</v>
      </c>
      <c r="K27" s="1">
        <v>4.9818012150783963E-2</v>
      </c>
      <c r="L27" s="1">
        <v>0.843798380746413</v>
      </c>
      <c r="M27" s="1">
        <v>0.57951978415047056</v>
      </c>
      <c r="N27" s="2">
        <v>1.38894528340252</v>
      </c>
      <c r="O27" s="2">
        <v>0.22309062427736004</v>
      </c>
      <c r="P27" s="2">
        <v>2.3055435856849993E-2</v>
      </c>
      <c r="Q27" s="2">
        <v>1.1771625820367901</v>
      </c>
      <c r="R27" s="2">
        <v>1.2074067828714099</v>
      </c>
      <c r="S27" s="2">
        <v>0.65590667174861994</v>
      </c>
      <c r="T27" s="2">
        <v>-0.11980482427438199</v>
      </c>
      <c r="U27" s="2">
        <v>0.37359415497744997</v>
      </c>
      <c r="V27" s="2">
        <v>0.58604838583763996</v>
      </c>
      <c r="W27" s="2">
        <v>1.3252257806253398</v>
      </c>
      <c r="X27" s="2">
        <v>1.2787339347159701</v>
      </c>
      <c r="Y27" s="2">
        <v>1.83881429109033</v>
      </c>
      <c r="Z27" s="2">
        <v>-0.91465770366552002</v>
      </c>
      <c r="AA27" s="2">
        <v>-0.13470663694210405</v>
      </c>
      <c r="AC27">
        <f t="shared" si="0"/>
        <v>0.45224576232080455</v>
      </c>
      <c r="AD27">
        <f t="shared" si="1"/>
        <v>0.63634391161130532</v>
      </c>
      <c r="AE27">
        <f t="shared" si="2"/>
        <v>0.88019912990348148</v>
      </c>
      <c r="AF27">
        <f t="shared" si="3"/>
        <v>0.56328381655352566</v>
      </c>
      <c r="AG27">
        <f t="shared" si="4"/>
        <v>-0.18409814929050067</v>
      </c>
      <c r="AH27">
        <f t="shared" si="5"/>
        <v>0.24927272609904577</v>
      </c>
      <c r="AI27" t="s">
        <v>63</v>
      </c>
      <c r="AL27" t="s">
        <v>58</v>
      </c>
      <c r="AM27">
        <v>-0.33475500607506409</v>
      </c>
      <c r="AN27">
        <v>0.50646298780958154</v>
      </c>
    </row>
    <row r="28" spans="1:40" x14ac:dyDescent="0.2">
      <c r="A28" t="s">
        <v>64</v>
      </c>
      <c r="B28" s="1">
        <v>-0.41743755946604916</v>
      </c>
      <c r="C28" s="1">
        <v>0.35802850299466393</v>
      </c>
      <c r="D28" s="1">
        <v>1.2220826283366903E-2</v>
      </c>
      <c r="E28" s="1">
        <v>0.10992994871036119</v>
      </c>
      <c r="F28" s="1">
        <v>-1.5003788665868611</v>
      </c>
      <c r="G28" s="1">
        <v>-1.2707883348869611</v>
      </c>
      <c r="H28" s="1">
        <v>-1.4311420445260805</v>
      </c>
      <c r="I28" s="1">
        <v>1.0468783202596503</v>
      </c>
      <c r="J28" s="1">
        <v>-1.7137857280396196</v>
      </c>
      <c r="K28" s="1">
        <v>0.38956068798010229</v>
      </c>
      <c r="L28" s="1">
        <v>-3.9615343725765695E-2</v>
      </c>
      <c r="M28" s="1">
        <v>0.45993760890923663</v>
      </c>
      <c r="N28" s="2">
        <v>1.327970522618545</v>
      </c>
      <c r="O28" s="2">
        <v>0.7731311212950146</v>
      </c>
      <c r="P28" s="2">
        <v>-0.21832467155806035</v>
      </c>
      <c r="Q28" s="2">
        <v>1.1912746521100348</v>
      </c>
      <c r="R28" s="2">
        <v>8.3045006647227693E-2</v>
      </c>
      <c r="S28" s="2">
        <v>0.21586263669589167</v>
      </c>
      <c r="T28" s="2">
        <v>0.10725275215333774</v>
      </c>
      <c r="U28" s="2">
        <v>1.6727602790586715E-2</v>
      </c>
      <c r="V28" s="2">
        <v>0.92981091864615462</v>
      </c>
      <c r="W28" s="2">
        <v>0.78214742393924463</v>
      </c>
      <c r="X28" s="2">
        <v>0.77139095367666466</v>
      </c>
      <c r="Y28" s="2">
        <v>1.5274802034262249</v>
      </c>
      <c r="Z28" s="2">
        <v>-0.50128597059220226</v>
      </c>
      <c r="AA28" s="2">
        <v>-1.5129963728930842</v>
      </c>
      <c r="AC28">
        <f t="shared" si="0"/>
        <v>-0.33304933184116292</v>
      </c>
      <c r="AD28">
        <f t="shared" si="1"/>
        <v>0.39239191278254154</v>
      </c>
      <c r="AE28">
        <f t="shared" si="2"/>
        <v>0.60481203608973166</v>
      </c>
      <c r="AF28">
        <f t="shared" si="3"/>
        <v>4.6239405239088906E-2</v>
      </c>
      <c r="AG28">
        <f t="shared" si="4"/>
        <v>-0.72544124462370452</v>
      </c>
      <c r="AH28">
        <f t="shared" si="5"/>
        <v>1.3349877607259995</v>
      </c>
      <c r="AI28" t="s">
        <v>64</v>
      </c>
      <c r="AL28" t="s">
        <v>70</v>
      </c>
      <c r="AM28">
        <v>-0.33657139237062667</v>
      </c>
      <c r="AN28">
        <v>0.49345128176345687</v>
      </c>
    </row>
    <row r="29" spans="1:40" x14ac:dyDescent="0.2">
      <c r="A29" t="s">
        <v>65</v>
      </c>
      <c r="B29" s="1">
        <v>-0.42972553786356338</v>
      </c>
      <c r="C29" s="1">
        <v>1.3134903181112967</v>
      </c>
      <c r="D29" s="1">
        <v>-0.65668303107949233</v>
      </c>
      <c r="E29" s="1">
        <v>-1.7640355447208134</v>
      </c>
      <c r="F29" s="1">
        <v>-1.0766501132208535</v>
      </c>
      <c r="G29" s="1">
        <v>-1.0519063391817034</v>
      </c>
      <c r="H29" s="1">
        <v>-0.96333902631962443</v>
      </c>
      <c r="I29" s="1">
        <v>-1.6014396366078001</v>
      </c>
      <c r="J29" s="1">
        <v>-1.6439578934855004</v>
      </c>
      <c r="K29" s="1">
        <v>-2.7469132145325998</v>
      </c>
      <c r="L29" s="1">
        <v>-0.7253122581964202</v>
      </c>
      <c r="M29" s="1">
        <v>-3.3675765599010203</v>
      </c>
      <c r="N29" s="2">
        <v>-0.64658622058280024</v>
      </c>
      <c r="O29" s="2">
        <v>-1.7630418979009144</v>
      </c>
      <c r="P29" s="2">
        <v>-0.71029657129747925</v>
      </c>
      <c r="Q29" s="2">
        <v>1.7126854802581857</v>
      </c>
      <c r="R29" s="2">
        <v>-3.2037365692050641</v>
      </c>
      <c r="S29" s="2">
        <v>-0.16356005704791121</v>
      </c>
      <c r="T29" s="2">
        <v>-1.6558851098756242</v>
      </c>
      <c r="U29" s="2">
        <v>-0.66399503140060123</v>
      </c>
      <c r="V29" s="2">
        <v>1.2998704848668257</v>
      </c>
      <c r="W29" s="2">
        <v>-1.1470699757697433</v>
      </c>
      <c r="X29" s="2">
        <v>-0.65273103174212621</v>
      </c>
      <c r="Y29" s="2">
        <v>1.8870596437956557</v>
      </c>
      <c r="Z29" s="2">
        <v>-1.7923169928001341</v>
      </c>
      <c r="AA29" s="2">
        <v>-1.6009620036676542</v>
      </c>
      <c r="AC29">
        <f t="shared" si="0"/>
        <v>-1.2261707364165078</v>
      </c>
      <c r="AD29">
        <f t="shared" si="1"/>
        <v>-0.65004041802638468</v>
      </c>
      <c r="AE29">
        <f t="shared" si="2"/>
        <v>0.67076052002433872</v>
      </c>
      <c r="AF29">
        <f t="shared" si="3"/>
        <v>0.27481165301308175</v>
      </c>
      <c r="AG29">
        <f t="shared" si="4"/>
        <v>-0.57613031839012285</v>
      </c>
      <c r="AH29">
        <f t="shared" si="5"/>
        <v>0.56096485555725262</v>
      </c>
      <c r="AI29" t="s">
        <v>65</v>
      </c>
      <c r="AL29" t="s">
        <v>76</v>
      </c>
      <c r="AM29">
        <v>-0.7801162736311944</v>
      </c>
      <c r="AN29">
        <v>0.47257360762789663</v>
      </c>
    </row>
    <row r="30" spans="1:40" x14ac:dyDescent="0.2">
      <c r="A30" t="s">
        <v>66</v>
      </c>
      <c r="B30" s="1">
        <v>1.419129532264763</v>
      </c>
      <c r="C30" s="1">
        <v>2.9287632020205927</v>
      </c>
      <c r="D30" s="1">
        <v>2.6345230962825328</v>
      </c>
      <c r="E30" s="1" t="s">
        <v>67</v>
      </c>
      <c r="F30" s="1">
        <v>4.974829815381673</v>
      </c>
      <c r="G30" s="1">
        <v>0.91626224103905285</v>
      </c>
      <c r="H30" s="1">
        <v>3.381126807370971</v>
      </c>
      <c r="I30" s="1">
        <v>2.2750586351131821</v>
      </c>
      <c r="J30" s="1">
        <v>1.145047811936678</v>
      </c>
      <c r="K30" s="1">
        <v>2.7052455696493718</v>
      </c>
      <c r="L30" s="1">
        <v>2.115030195241812</v>
      </c>
      <c r="M30" s="1">
        <v>1.722315315204672</v>
      </c>
      <c r="N30" s="2">
        <v>3.0290607127337537</v>
      </c>
      <c r="O30" s="2">
        <v>3.2716367157899136</v>
      </c>
      <c r="P30" s="2">
        <v>2.9817204571866536</v>
      </c>
      <c r="Q30" s="2">
        <v>3.6040981387146735</v>
      </c>
      <c r="R30" s="2">
        <v>1.4026519182443133</v>
      </c>
      <c r="S30" s="2">
        <v>2.5725949147640934</v>
      </c>
      <c r="T30" s="2">
        <v>3.8590548504883837</v>
      </c>
      <c r="U30" s="2">
        <v>2.6511036788134534</v>
      </c>
      <c r="V30" s="2">
        <v>2.8356605031451037</v>
      </c>
      <c r="W30" s="2">
        <v>3.9012736337896734</v>
      </c>
      <c r="X30" s="2">
        <v>3.8114497746864138</v>
      </c>
      <c r="Y30" s="2">
        <v>3.3042756596926135</v>
      </c>
      <c r="Z30" s="2">
        <v>2.4494552340402533</v>
      </c>
      <c r="AA30" s="2">
        <v>2.4549539515105234</v>
      </c>
      <c r="AC30">
        <f t="shared" si="0"/>
        <v>2.3833938383186637</v>
      </c>
      <c r="AD30">
        <f t="shared" si="1"/>
        <v>3.0092135816857017</v>
      </c>
      <c r="AE30">
        <f t="shared" si="2"/>
        <v>0.64805144804286474</v>
      </c>
      <c r="AF30">
        <f t="shared" si="3"/>
        <v>0.13235880497615735</v>
      </c>
      <c r="AG30">
        <f t="shared" si="4"/>
        <v>-0.62581974336703816</v>
      </c>
      <c r="AH30">
        <f t="shared" si="5"/>
        <v>0.87824716259561986</v>
      </c>
      <c r="AI30" t="s">
        <v>66</v>
      </c>
      <c r="AL30" t="s">
        <v>89</v>
      </c>
      <c r="AM30">
        <v>0.34336927505745179</v>
      </c>
      <c r="AN30">
        <v>0.46922056496211095</v>
      </c>
    </row>
    <row r="31" spans="1:40" x14ac:dyDescent="0.2">
      <c r="A31" t="s">
        <v>68</v>
      </c>
      <c r="B31" s="1">
        <v>0.42442311148761913</v>
      </c>
      <c r="C31" s="1">
        <v>1.3423293390903241</v>
      </c>
      <c r="D31" s="1">
        <v>1.3319720823230841</v>
      </c>
      <c r="E31" s="1">
        <v>1.0056322693821742</v>
      </c>
      <c r="F31" s="1">
        <v>0.12179524779172812</v>
      </c>
      <c r="G31" s="1">
        <v>1.1549420550964442</v>
      </c>
      <c r="H31" s="1">
        <v>-0.2193518492652532</v>
      </c>
      <c r="I31" s="1">
        <v>1.6981463057444044</v>
      </c>
      <c r="J31" s="1">
        <v>0.64659838073078535</v>
      </c>
      <c r="K31" s="1">
        <v>1.6393180832312444</v>
      </c>
      <c r="L31" s="1">
        <v>0.6322978223738065</v>
      </c>
      <c r="M31" s="1">
        <v>-0.14822506630137455</v>
      </c>
      <c r="N31" s="2">
        <v>0.91758498592588611</v>
      </c>
      <c r="O31" s="2">
        <v>2.2205304100624463</v>
      </c>
      <c r="P31" s="2">
        <v>1.3773354350895661</v>
      </c>
      <c r="Q31" s="2">
        <v>2.7941890544125463</v>
      </c>
      <c r="R31" s="2">
        <v>-0.47862139045741992</v>
      </c>
      <c r="S31" s="2">
        <v>2.0837867101215464</v>
      </c>
      <c r="T31" s="2">
        <v>2.350770978822176</v>
      </c>
      <c r="U31" s="2">
        <v>1.059915925929106</v>
      </c>
      <c r="V31" s="2">
        <v>1.2312943065726363</v>
      </c>
      <c r="W31" s="2">
        <v>-0.22387001034550663</v>
      </c>
      <c r="X31" s="2">
        <v>1.7137985064100962</v>
      </c>
      <c r="Y31" s="2">
        <v>3.5225074579679663</v>
      </c>
      <c r="Z31" s="2">
        <v>0.913744368194226</v>
      </c>
      <c r="AA31" s="2">
        <v>0.58637936718340911</v>
      </c>
      <c r="AC31">
        <f t="shared" si="0"/>
        <v>0.80248981514041529</v>
      </c>
      <c r="AD31">
        <f t="shared" si="1"/>
        <v>1.4335247218491916</v>
      </c>
      <c r="AE31">
        <f t="shared" si="2"/>
        <v>0.64571305162056047</v>
      </c>
      <c r="AF31">
        <f t="shared" si="3"/>
        <v>8.7988790499533023E-2</v>
      </c>
      <c r="AG31">
        <f t="shared" si="4"/>
        <v>-0.63103490670877638</v>
      </c>
      <c r="AH31">
        <f t="shared" si="5"/>
        <v>1.0555726521030462</v>
      </c>
      <c r="AI31" t="s">
        <v>68</v>
      </c>
      <c r="AL31" t="s">
        <v>55</v>
      </c>
      <c r="AM31">
        <v>-0.56827551662826892</v>
      </c>
      <c r="AN31">
        <v>0.4682870644224647</v>
      </c>
    </row>
    <row r="32" spans="1:40" x14ac:dyDescent="0.2">
      <c r="A32" t="s">
        <v>69</v>
      </c>
      <c r="B32" s="1">
        <v>-3.9207363626195368E-2</v>
      </c>
      <c r="C32" s="1">
        <v>0.46377453682295261</v>
      </c>
      <c r="D32" s="1">
        <v>0.62023614544760863</v>
      </c>
      <c r="E32" s="1">
        <v>0.69185464840948563</v>
      </c>
      <c r="F32" s="1">
        <v>1.2320042607317347</v>
      </c>
      <c r="G32" s="1">
        <v>0.40888723449958664</v>
      </c>
      <c r="H32" s="1">
        <v>0.33261599779211887</v>
      </c>
      <c r="I32" s="1">
        <v>1.0510542063231434</v>
      </c>
      <c r="J32" s="1">
        <v>1.3821030039936244</v>
      </c>
      <c r="K32" s="1">
        <v>0.38906964726317639</v>
      </c>
      <c r="L32" s="1">
        <v>0.89714212938048843</v>
      </c>
      <c r="M32" s="1">
        <v>0.42635316420095637</v>
      </c>
      <c r="N32" s="2">
        <v>0.15112329564539773</v>
      </c>
      <c r="O32" s="2">
        <v>1.1741047324220837</v>
      </c>
      <c r="P32" s="2">
        <v>0.53711250421306367</v>
      </c>
      <c r="Q32" s="2">
        <v>0.96642600090970376</v>
      </c>
      <c r="R32" s="2">
        <v>1.2757845264809138</v>
      </c>
      <c r="S32" s="2">
        <v>0.35746997982922379</v>
      </c>
      <c r="T32" s="2">
        <v>0.58950306804839381</v>
      </c>
      <c r="U32" s="2">
        <v>0.96030506894819367</v>
      </c>
      <c r="V32" s="2">
        <v>0.93989039947182385</v>
      </c>
      <c r="W32" s="2">
        <v>0.71645546537998384</v>
      </c>
      <c r="X32" s="2">
        <v>0.45244645202939371</v>
      </c>
      <c r="Y32" s="2">
        <v>1.1618529846884336</v>
      </c>
      <c r="Z32" s="2">
        <v>0.80671293662604382</v>
      </c>
      <c r="AA32" s="2">
        <v>0.62160870417939373</v>
      </c>
      <c r="AC32">
        <f t="shared" si="0"/>
        <v>0.65465730093655672</v>
      </c>
      <c r="AD32">
        <f t="shared" si="1"/>
        <v>0.76505686563371778</v>
      </c>
      <c r="AE32">
        <f t="shared" si="2"/>
        <v>0.92633147224155277</v>
      </c>
      <c r="AF32">
        <f t="shared" si="3"/>
        <v>0.46702980780142</v>
      </c>
      <c r="AG32">
        <f t="shared" si="4"/>
        <v>-0.110399564697161</v>
      </c>
      <c r="AH32">
        <f t="shared" si="5"/>
        <v>0.33065540005369104</v>
      </c>
      <c r="AI32" t="s">
        <v>69</v>
      </c>
      <c r="AL32" t="s">
        <v>102</v>
      </c>
      <c r="AM32">
        <v>-0.33535377242324632</v>
      </c>
      <c r="AN32">
        <v>0.46537402555714552</v>
      </c>
    </row>
    <row r="33" spans="1:40" x14ac:dyDescent="0.2">
      <c r="A33" t="s">
        <v>70</v>
      </c>
      <c r="B33" s="1">
        <v>0.8820599351498688</v>
      </c>
      <c r="C33" s="1">
        <v>0.31918523702619722</v>
      </c>
      <c r="D33" s="1">
        <v>2.48847592111946</v>
      </c>
      <c r="E33" s="1">
        <v>0.15320060948267983</v>
      </c>
      <c r="F33" s="1">
        <v>-1.1453926270197101</v>
      </c>
      <c r="G33" s="1">
        <v>4.3325354736834853E-2</v>
      </c>
      <c r="H33" s="1">
        <v>0.41514245129370875</v>
      </c>
      <c r="I33" s="1">
        <v>1.7537106749228726</v>
      </c>
      <c r="J33" s="1">
        <v>1.1521416681903867</v>
      </c>
      <c r="K33" s="1">
        <v>0.60630221518197569</v>
      </c>
      <c r="L33" s="1">
        <v>4.8171448027861663E-2</v>
      </c>
      <c r="M33" s="1">
        <v>1.5541314754850726</v>
      </c>
      <c r="N33" s="2">
        <v>2.2162162823908043</v>
      </c>
      <c r="O33" s="2">
        <v>1.2819809231595942</v>
      </c>
      <c r="P33" s="2">
        <v>1.0650161941068943</v>
      </c>
      <c r="Q33" s="2">
        <v>1.7942552228137945</v>
      </c>
      <c r="R33" s="2">
        <v>1.5669001136346441</v>
      </c>
      <c r="S33" s="2">
        <v>0.13313989902814927</v>
      </c>
      <c r="T33" s="2">
        <v>1.1545351511903543</v>
      </c>
      <c r="U33" s="2">
        <v>1.6055575367080144</v>
      </c>
      <c r="V33" s="2">
        <v>1.4340768861788742</v>
      </c>
      <c r="W33" s="2">
        <v>0.86974088356851431</v>
      </c>
      <c r="X33" s="2">
        <v>0.52127084404570434</v>
      </c>
      <c r="Y33" s="2">
        <v>0.4240836823988543</v>
      </c>
      <c r="Z33" s="2">
        <v>0.40224591037674418</v>
      </c>
      <c r="AA33" s="2">
        <v>-0.10815661221541872</v>
      </c>
      <c r="AC33">
        <f t="shared" si="0"/>
        <v>0.68920453029976736</v>
      </c>
      <c r="AD33">
        <f t="shared" si="1"/>
        <v>1.0257759226703942</v>
      </c>
      <c r="AE33">
        <f t="shared" si="2"/>
        <v>0.79192110131737659</v>
      </c>
      <c r="AF33">
        <f t="shared" si="3"/>
        <v>0.32103229112473508</v>
      </c>
      <c r="AG33">
        <f t="shared" si="4"/>
        <v>-0.33657139237062667</v>
      </c>
      <c r="AH33">
        <f t="shared" si="5"/>
        <v>0.49345128176345687</v>
      </c>
      <c r="AI33" t="s">
        <v>70</v>
      </c>
      <c r="AL33" t="s">
        <v>48</v>
      </c>
      <c r="AM33">
        <v>-0.41386111530188185</v>
      </c>
      <c r="AN33">
        <v>0.45730704381811643</v>
      </c>
    </row>
    <row r="34" spans="1:40" x14ac:dyDescent="0.2">
      <c r="A34" t="s">
        <v>71</v>
      </c>
      <c r="B34" s="1">
        <v>-8.5736138585891186E-2</v>
      </c>
      <c r="C34" s="1">
        <v>-1.6586875117534725</v>
      </c>
      <c r="D34" s="1">
        <v>-1.276997686254242</v>
      </c>
      <c r="E34" s="1">
        <v>-1.3904516969100222</v>
      </c>
      <c r="F34" s="1">
        <v>-1.1816576006621622</v>
      </c>
      <c r="G34" s="1">
        <v>-0.72601666125726216</v>
      </c>
      <c r="H34" s="1">
        <v>-0.39660772135766348</v>
      </c>
      <c r="I34" s="1">
        <v>-0.48236489418710782</v>
      </c>
      <c r="J34" s="1">
        <v>-1.4485822908924679</v>
      </c>
      <c r="K34" s="1">
        <v>-1.8963723955735681</v>
      </c>
      <c r="L34" s="1">
        <v>-1.2758724608260477</v>
      </c>
      <c r="M34" s="1">
        <v>-1.4778755758695081</v>
      </c>
      <c r="N34" s="2">
        <v>-0.56583692689732779</v>
      </c>
      <c r="O34" s="2">
        <v>-1.0087093163232987</v>
      </c>
      <c r="P34" s="2">
        <v>-1.3563244338502549</v>
      </c>
      <c r="Q34" s="2">
        <v>-1.0944227995346307</v>
      </c>
      <c r="R34" s="2">
        <v>-0.83143453783287091</v>
      </c>
      <c r="S34" s="2">
        <v>-1.5146559670456727</v>
      </c>
      <c r="T34" s="2">
        <v>-2.0557524573638468</v>
      </c>
      <c r="U34" s="2">
        <v>-1.617751956122508</v>
      </c>
      <c r="V34" s="2">
        <v>-1.7642986615790879</v>
      </c>
      <c r="W34" s="2">
        <v>0.20007112303023311</v>
      </c>
      <c r="X34" s="2">
        <v>-0.84072480897707702</v>
      </c>
      <c r="Y34" s="2">
        <v>-0.78677675496304056</v>
      </c>
      <c r="Z34" s="2">
        <v>-1.4212361324166758</v>
      </c>
      <c r="AA34" s="2">
        <v>-1.454805339433356</v>
      </c>
      <c r="AC34">
        <f t="shared" si="0"/>
        <v>-1.1081018861774512</v>
      </c>
      <c r="AD34">
        <f t="shared" si="1"/>
        <v>-1.1509042120935296</v>
      </c>
      <c r="AE34">
        <f t="shared" si="2"/>
        <v>1.0301128007435028</v>
      </c>
      <c r="AF34">
        <f t="shared" si="3"/>
        <v>0.84879450876976215</v>
      </c>
      <c r="AG34">
        <f t="shared" si="4"/>
        <v>4.2802325916078236E-2</v>
      </c>
      <c r="AH34">
        <f t="shared" si="5"/>
        <v>7.1197438742325245E-2</v>
      </c>
      <c r="AI34" t="s">
        <v>71</v>
      </c>
      <c r="AL34" t="s">
        <v>99</v>
      </c>
      <c r="AM34">
        <v>-0.34862591839260992</v>
      </c>
      <c r="AN34">
        <v>0.43424605118012249</v>
      </c>
    </row>
    <row r="35" spans="1:40" x14ac:dyDescent="0.2">
      <c r="A35" t="s">
        <v>72</v>
      </c>
      <c r="B35" s="1">
        <v>-0.10889023840219123</v>
      </c>
      <c r="C35" s="1">
        <v>4.2593335830627836</v>
      </c>
      <c r="D35" s="1">
        <v>2.9107937770669237</v>
      </c>
      <c r="E35" s="1">
        <v>3.0730829967285236</v>
      </c>
      <c r="F35" s="1">
        <v>1.8219659297780439</v>
      </c>
      <c r="G35" s="1">
        <v>4.3324091858246945</v>
      </c>
      <c r="H35" s="1">
        <v>0.55307857798401283</v>
      </c>
      <c r="I35" s="1">
        <v>2.1221316004014028</v>
      </c>
      <c r="J35" s="1">
        <v>3.6694229642045126</v>
      </c>
      <c r="K35" s="1">
        <v>2.9022278313566825</v>
      </c>
      <c r="L35" s="1">
        <v>0.80434670210683656</v>
      </c>
      <c r="M35" s="1">
        <v>4.2623311749494519</v>
      </c>
      <c r="N35" s="2">
        <v>4.8524204787614167</v>
      </c>
      <c r="O35" s="2">
        <v>2.7418785587649865</v>
      </c>
      <c r="P35" s="2">
        <v>2.3425983001425266</v>
      </c>
      <c r="Q35" s="2">
        <v>3.6542375085448566</v>
      </c>
      <c r="R35" s="2">
        <v>1.4066138745509265</v>
      </c>
      <c r="S35" s="2">
        <v>2.7353004815522266</v>
      </c>
      <c r="T35" s="2">
        <v>4.3481052166530469</v>
      </c>
      <c r="U35" s="2">
        <v>2.7518603095137664</v>
      </c>
      <c r="V35" s="2">
        <v>3.9417280751851669</v>
      </c>
      <c r="W35" s="2">
        <v>1.4988573259350266</v>
      </c>
      <c r="X35" s="2">
        <v>3.2859705287147167</v>
      </c>
      <c r="Y35" s="2">
        <v>3.2486088171132566</v>
      </c>
      <c r="Z35" s="2">
        <v>3.3468194021007265</v>
      </c>
      <c r="AA35" s="2">
        <v>2.1622981842330766</v>
      </c>
      <c r="AC35">
        <f t="shared" si="0"/>
        <v>2.5501861737551397</v>
      </c>
      <c r="AD35">
        <f t="shared" si="1"/>
        <v>3.0226640758404093</v>
      </c>
      <c r="AE35">
        <f t="shared" si="2"/>
        <v>0.72072565113842824</v>
      </c>
      <c r="AF35">
        <f t="shared" si="3"/>
        <v>0.37081639057709259</v>
      </c>
      <c r="AG35">
        <f t="shared" si="4"/>
        <v>-0.47247790208526963</v>
      </c>
      <c r="AH35">
        <f t="shared" si="5"/>
        <v>0.43084107771021518</v>
      </c>
      <c r="AI35" t="s">
        <v>72</v>
      </c>
      <c r="AL35" t="s">
        <v>72</v>
      </c>
      <c r="AM35">
        <v>-0.47247790208526963</v>
      </c>
      <c r="AN35">
        <v>0.43084107771021518</v>
      </c>
    </row>
    <row r="36" spans="1:40" x14ac:dyDescent="0.2">
      <c r="A36" t="s">
        <v>73</v>
      </c>
      <c r="B36" s="1">
        <v>0.4170234578140013</v>
      </c>
      <c r="C36" s="1">
        <v>2.4186604312963564</v>
      </c>
      <c r="D36" s="1">
        <v>1.7996831253469163</v>
      </c>
      <c r="E36" s="1">
        <v>1.8627316622316963</v>
      </c>
      <c r="F36" s="1">
        <v>0.98972071549434637</v>
      </c>
      <c r="G36" s="1">
        <v>1.8695054028375564</v>
      </c>
      <c r="H36" s="1">
        <v>-0.10463994177856351</v>
      </c>
      <c r="I36" s="1">
        <v>1.1372062096252022</v>
      </c>
      <c r="J36" s="1">
        <v>1.7249689413693421</v>
      </c>
      <c r="K36" s="1">
        <v>1.4410611647914422</v>
      </c>
      <c r="L36" s="1">
        <v>1.1712163930905524</v>
      </c>
      <c r="M36" s="1">
        <v>3.2140099955831825</v>
      </c>
      <c r="N36" s="2">
        <v>1.6152055745469742</v>
      </c>
      <c r="O36" s="2">
        <v>2.2709323637496444</v>
      </c>
      <c r="P36" s="2">
        <v>2.2174350407608543</v>
      </c>
      <c r="Q36" s="2">
        <v>-0.19052548122840574</v>
      </c>
      <c r="R36" s="2">
        <v>0.76199053622423318</v>
      </c>
      <c r="S36" s="2">
        <v>2.4717152936475251E-2</v>
      </c>
      <c r="T36" s="2">
        <v>3.4506150288409945</v>
      </c>
      <c r="U36" s="2">
        <v>1.8483895167159543</v>
      </c>
      <c r="V36" s="2">
        <v>0.51148021665173993</v>
      </c>
      <c r="W36" s="2">
        <v>1.0877518628821381</v>
      </c>
      <c r="X36" s="2">
        <v>1.8357208960141642</v>
      </c>
      <c r="Y36" s="2">
        <v>8.868330459841256E-3</v>
      </c>
      <c r="Z36" s="2">
        <v>1.8685678089723143</v>
      </c>
      <c r="AA36" s="2">
        <v>0.8240600490697092</v>
      </c>
      <c r="AC36">
        <f t="shared" si="0"/>
        <v>1.4950956298085025</v>
      </c>
      <c r="AD36">
        <f t="shared" si="1"/>
        <v>1.2953720640426165</v>
      </c>
      <c r="AE36">
        <f t="shared" si="2"/>
        <v>1.1484782744386903</v>
      </c>
      <c r="AF36">
        <f t="shared" si="3"/>
        <v>0.60035817746273046</v>
      </c>
      <c r="AG36">
        <f t="shared" si="4"/>
        <v>0.19972356576588599</v>
      </c>
      <c r="AH36">
        <f t="shared" si="5"/>
        <v>0.22158956947638928</v>
      </c>
      <c r="AI36" t="s">
        <v>73</v>
      </c>
      <c r="AL36" t="s">
        <v>111</v>
      </c>
      <c r="AM36">
        <v>-0.30345305298787356</v>
      </c>
      <c r="AN36">
        <v>0.42690174711168888</v>
      </c>
    </row>
    <row r="37" spans="1:40" x14ac:dyDescent="0.2">
      <c r="A37" t="s">
        <v>74</v>
      </c>
      <c r="B37" s="1">
        <v>-0.68475929846275829</v>
      </c>
      <c r="C37" s="1">
        <v>-2.1214686456200811</v>
      </c>
      <c r="D37" s="1">
        <v>0.12729555381193969</v>
      </c>
      <c r="E37" s="1">
        <v>-1.5074210416062213</v>
      </c>
      <c r="F37" s="1">
        <v>-2.9056305547278614</v>
      </c>
      <c r="G37" s="1">
        <v>-1.1654017655534423</v>
      </c>
      <c r="H37" s="1">
        <v>-2.3740898833193853</v>
      </c>
      <c r="I37" s="1">
        <v>-0.73823860725467749</v>
      </c>
      <c r="J37" s="1">
        <v>-0.79175168020731046</v>
      </c>
      <c r="K37" s="1">
        <v>-1.1656572789592865</v>
      </c>
      <c r="L37" s="1">
        <v>-0.70990947977982943</v>
      </c>
      <c r="M37" s="1">
        <v>0.22362366440270554</v>
      </c>
      <c r="N37" s="2">
        <v>-0.21637559934647377</v>
      </c>
      <c r="O37" s="2">
        <v>-0.90182383048200965</v>
      </c>
      <c r="P37" s="2">
        <v>-0.71010316040694965</v>
      </c>
      <c r="Q37" s="2">
        <v>-1.9973423251463895</v>
      </c>
      <c r="R37" s="2">
        <v>-1.4050711330327597</v>
      </c>
      <c r="S37" s="2">
        <v>-1.4376095963558397</v>
      </c>
      <c r="T37" s="2">
        <v>-1.6543124467200099</v>
      </c>
      <c r="U37" s="2">
        <v>-1.1150325751213297</v>
      </c>
      <c r="V37" s="2">
        <v>-1.4972846462314198</v>
      </c>
      <c r="W37" s="2">
        <v>-1.5395134194601998</v>
      </c>
      <c r="X37" s="2">
        <v>-0.57334642037701977</v>
      </c>
      <c r="Y37" s="2">
        <v>-1.6824596957138795</v>
      </c>
      <c r="Z37" s="2">
        <v>-1.0592450426972797</v>
      </c>
      <c r="AA37" s="2">
        <v>-1.2096956548702997</v>
      </c>
      <c r="AC37">
        <f t="shared" si="0"/>
        <v>-1.1511174181063508</v>
      </c>
      <c r="AD37">
        <f t="shared" si="1"/>
        <v>-1.2142296818544183</v>
      </c>
      <c r="AE37">
        <f t="shared" si="2"/>
        <v>1.0447170546728139</v>
      </c>
      <c r="AF37">
        <f t="shared" si="3"/>
        <v>0.83766241551733289</v>
      </c>
      <c r="AG37">
        <f t="shared" si="4"/>
        <v>6.3112263748067388E-2</v>
      </c>
      <c r="AH37">
        <f t="shared" si="5"/>
        <v>7.6930970172508981E-2</v>
      </c>
      <c r="AI37" t="s">
        <v>74</v>
      </c>
      <c r="AL37" t="s">
        <v>51</v>
      </c>
      <c r="AM37">
        <v>-0.34096407145549401</v>
      </c>
      <c r="AN37">
        <v>0.41636076065052186</v>
      </c>
    </row>
    <row r="38" spans="1:40" x14ac:dyDescent="0.2">
      <c r="A38" t="s">
        <v>75</v>
      </c>
      <c r="B38" s="1">
        <v>9.4256970274568752E-2</v>
      </c>
      <c r="C38" s="1">
        <v>-2.3005266645329243</v>
      </c>
      <c r="D38" s="1">
        <v>1.6167138907256358</v>
      </c>
      <c r="E38" s="1">
        <v>-1.9064828269046643</v>
      </c>
      <c r="F38" s="1">
        <v>-1.2977567959765142</v>
      </c>
      <c r="G38" s="1">
        <v>-0.7060535964323742</v>
      </c>
      <c r="H38" s="1">
        <v>-1.3738770839486807</v>
      </c>
      <c r="I38" s="1">
        <v>0.96854651538473824</v>
      </c>
      <c r="J38" s="1">
        <v>-0.42862092239729976</v>
      </c>
      <c r="K38" s="1">
        <v>-1.5283165418043119</v>
      </c>
      <c r="L38" s="1">
        <v>-0.86112730668392179</v>
      </c>
      <c r="M38" s="1">
        <v>-0.41733590213157373</v>
      </c>
      <c r="N38" s="2">
        <v>-0.67272663917665898</v>
      </c>
      <c r="O38" s="2">
        <v>-0.23496891457855695</v>
      </c>
      <c r="P38" s="2">
        <v>-0.36832616496405696</v>
      </c>
      <c r="Q38" s="2">
        <v>-1.6148804681417142</v>
      </c>
      <c r="R38" s="2">
        <v>-3.8767710433981056E-2</v>
      </c>
      <c r="S38" s="2">
        <v>-1.417284637528474</v>
      </c>
      <c r="T38" s="2">
        <v>-0.60175479244483898</v>
      </c>
      <c r="U38" s="2">
        <v>-0.94694091250048695</v>
      </c>
      <c r="V38" s="2">
        <v>-2.0318707209368738</v>
      </c>
      <c r="W38" s="2">
        <v>-0.45150546190126595</v>
      </c>
      <c r="X38" s="2">
        <v>-0.28858257462467996</v>
      </c>
      <c r="Y38" s="2">
        <v>-1.2650574485088839</v>
      </c>
      <c r="Z38" s="2">
        <v>-1.1163720054523241</v>
      </c>
      <c r="AA38" s="2">
        <v>-1.0420883117963688</v>
      </c>
      <c r="AC38">
        <f t="shared" si="0"/>
        <v>-0.67838168870227677</v>
      </c>
      <c r="AD38">
        <f t="shared" si="1"/>
        <v>-0.86365191164208333</v>
      </c>
      <c r="AE38">
        <f t="shared" si="2"/>
        <v>1.1370299238506587</v>
      </c>
      <c r="AF38">
        <f t="shared" si="3"/>
        <v>0.61970642681901655</v>
      </c>
      <c r="AG38">
        <f t="shared" si="4"/>
        <v>0.18527022293980652</v>
      </c>
      <c r="AH38">
        <f t="shared" si="5"/>
        <v>0.20781399986845578</v>
      </c>
      <c r="AI38" t="s">
        <v>75</v>
      </c>
      <c r="AL38" t="s">
        <v>80</v>
      </c>
      <c r="AM38">
        <v>-0.65628401430314631</v>
      </c>
      <c r="AN38">
        <v>0.4080793835719177</v>
      </c>
    </row>
    <row r="39" spans="1:40" x14ac:dyDescent="0.2">
      <c r="A39" t="s">
        <v>76</v>
      </c>
      <c r="B39" s="1">
        <v>0.76427478021033635</v>
      </c>
      <c r="C39" s="1">
        <v>2.3626709200624232</v>
      </c>
      <c r="D39" s="1">
        <v>1.8254035290344734</v>
      </c>
      <c r="E39" s="1">
        <v>4.8942520323251433</v>
      </c>
      <c r="F39" s="1">
        <v>2.4100854357076735</v>
      </c>
      <c r="G39" s="1">
        <v>0.26473877669691248</v>
      </c>
      <c r="H39" s="1">
        <v>-0.59688643431791888</v>
      </c>
      <c r="I39" s="1">
        <v>-0.84771279429669721</v>
      </c>
      <c r="J39" s="1">
        <v>0.98090191102470869</v>
      </c>
      <c r="K39" s="1">
        <v>-0.51089140290261137</v>
      </c>
      <c r="L39" s="1">
        <v>0.27562018114692011</v>
      </c>
      <c r="M39" s="1">
        <v>0.94893211291508273</v>
      </c>
      <c r="N39" s="2">
        <v>-0.32743304320385536</v>
      </c>
      <c r="O39" s="2">
        <v>2.8490094272401567</v>
      </c>
      <c r="P39" s="2">
        <v>2.6997643395647364</v>
      </c>
      <c r="Q39" s="2">
        <v>4.4324134679245564</v>
      </c>
      <c r="R39" s="2">
        <v>-2.3000718877329636</v>
      </c>
      <c r="S39" s="2">
        <v>-0.5773371189340053</v>
      </c>
      <c r="T39" s="2">
        <v>2.8610393400671663</v>
      </c>
      <c r="U39" s="2">
        <v>3.5500744312007564</v>
      </c>
      <c r="V39" s="2">
        <v>3.7702506313153465</v>
      </c>
      <c r="W39" s="2">
        <v>-0.43671520564494032</v>
      </c>
      <c r="X39" s="2">
        <v>4.5428825372064168</v>
      </c>
      <c r="Y39" s="2">
        <v>4.2295160029788166</v>
      </c>
      <c r="Z39" s="2">
        <v>-1.7441752720062933</v>
      </c>
      <c r="AA39" s="2">
        <v>2.2723640697350165</v>
      </c>
      <c r="AC39">
        <f t="shared" si="0"/>
        <v>1.0642824206338706</v>
      </c>
      <c r="AD39">
        <f t="shared" si="1"/>
        <v>1.844398694265065</v>
      </c>
      <c r="AE39">
        <f t="shared" si="2"/>
        <v>0.58231985942548914</v>
      </c>
      <c r="AF39">
        <f t="shared" si="3"/>
        <v>0.33684212026422</v>
      </c>
      <c r="AG39">
        <f t="shared" si="4"/>
        <v>-0.7801162736311944</v>
      </c>
      <c r="AH39">
        <f t="shared" si="5"/>
        <v>0.47257360762789663</v>
      </c>
      <c r="AI39" t="s">
        <v>76</v>
      </c>
      <c r="AL39" t="s">
        <v>110</v>
      </c>
      <c r="AM39">
        <v>0.41215646936213918</v>
      </c>
      <c r="AN39">
        <v>0.40312569406101822</v>
      </c>
    </row>
    <row r="40" spans="1:40" x14ac:dyDescent="0.2">
      <c r="A40" t="s">
        <v>77</v>
      </c>
      <c r="B40" s="1">
        <v>-1.1170117742944137</v>
      </c>
      <c r="C40" s="1">
        <v>-1.1178200152985358</v>
      </c>
      <c r="D40" s="1">
        <v>-0.50794140967623169</v>
      </c>
      <c r="E40" s="1">
        <v>-0.6881326491058537</v>
      </c>
      <c r="F40" s="1">
        <v>-1.0510846008624317</v>
      </c>
      <c r="G40" s="1">
        <v>-0.49108997504432483</v>
      </c>
      <c r="H40" s="1">
        <v>-0.55822300684248649</v>
      </c>
      <c r="I40" s="1">
        <v>-1.0914709338760455</v>
      </c>
      <c r="J40" s="1">
        <v>-0.65824434444729851</v>
      </c>
      <c r="K40" s="1">
        <v>-1.3212006107941354</v>
      </c>
      <c r="L40" s="1">
        <v>-1.0005707567444655</v>
      </c>
      <c r="M40" s="1">
        <v>-1.0103594342744255</v>
      </c>
      <c r="N40" s="2">
        <v>0.6147376433872962</v>
      </c>
      <c r="O40" s="2">
        <v>-1.2638867789199608</v>
      </c>
      <c r="P40" s="2">
        <v>-0.26862562192084183</v>
      </c>
      <c r="Q40" s="2">
        <v>0.38280221269164316</v>
      </c>
      <c r="R40" s="2">
        <v>-1.5913963436981811</v>
      </c>
      <c r="S40" s="2">
        <v>0.50305214714332114</v>
      </c>
      <c r="T40" s="2">
        <v>-1.406829944344131</v>
      </c>
      <c r="U40" s="2">
        <v>-1.0901134112619006</v>
      </c>
      <c r="V40" s="2">
        <v>-0.32992277608707382</v>
      </c>
      <c r="W40" s="2">
        <v>-1.1415662135281908</v>
      </c>
      <c r="X40" s="2">
        <v>3.6602528939121554E-3</v>
      </c>
      <c r="Y40" s="2">
        <v>1.4015695906386461E-2</v>
      </c>
      <c r="Z40" s="2">
        <v>-1.5098540485180409</v>
      </c>
      <c r="AA40" s="2">
        <v>-1.5830074676162309</v>
      </c>
      <c r="AC40">
        <f t="shared" si="0"/>
        <v>-0.88442912593838752</v>
      </c>
      <c r="AD40">
        <f t="shared" si="1"/>
        <v>-0.61906676099085656</v>
      </c>
      <c r="AE40">
        <f t="shared" si="2"/>
        <v>0.83198973573824375</v>
      </c>
      <c r="AF40">
        <f t="shared" si="3"/>
        <v>0.27863891910997363</v>
      </c>
      <c r="AG40">
        <f t="shared" si="4"/>
        <v>-0.26536236494753113</v>
      </c>
      <c r="AH40">
        <f t="shared" si="5"/>
        <v>0.55495822325224797</v>
      </c>
      <c r="AI40" t="s">
        <v>77</v>
      </c>
      <c r="AL40" t="s">
        <v>52</v>
      </c>
      <c r="AM40">
        <v>0.3005684810034901</v>
      </c>
      <c r="AN40">
        <v>0.39359746671964624</v>
      </c>
    </row>
    <row r="41" spans="1:40" x14ac:dyDescent="0.2">
      <c r="A41" t="s">
        <v>78</v>
      </c>
      <c r="B41" s="1">
        <v>-1.103724242539611</v>
      </c>
      <c r="C41" s="1">
        <v>-0.681857891964046</v>
      </c>
      <c r="D41" s="1">
        <v>4.804122119604598E-2</v>
      </c>
      <c r="E41" s="1">
        <v>-0.29553319191068322</v>
      </c>
      <c r="F41" s="1">
        <v>-1.4679097528945539</v>
      </c>
      <c r="G41" s="1">
        <v>-3.3080869502317034E-2</v>
      </c>
      <c r="H41" s="1">
        <v>-1.3159527892034892</v>
      </c>
      <c r="I41" s="1">
        <v>-0.49935585586952297</v>
      </c>
      <c r="J41" s="1">
        <v>-0.90593049542117499</v>
      </c>
      <c r="K41" s="1">
        <v>-2.1635139022349601</v>
      </c>
      <c r="L41" s="1">
        <v>-0.50466133359930798</v>
      </c>
      <c r="M41" s="1">
        <v>0.23439702708961907</v>
      </c>
      <c r="N41" s="2">
        <v>-8.4601867544249726E-2</v>
      </c>
      <c r="O41" s="2">
        <v>-0.51019269315633375</v>
      </c>
      <c r="P41" s="2">
        <v>-6.8567321848762713E-2</v>
      </c>
      <c r="Q41" s="2">
        <v>-1.0660477608224546</v>
      </c>
      <c r="R41" s="2">
        <v>-1.5814581614372245</v>
      </c>
      <c r="S41" s="2">
        <v>-1.0389550079123149</v>
      </c>
      <c r="T41" s="2">
        <v>-0.85468545837322474</v>
      </c>
      <c r="U41" s="2">
        <v>-0.45420005804676278</v>
      </c>
      <c r="V41" s="2">
        <v>-1.1004134187370846</v>
      </c>
      <c r="W41" s="2">
        <v>-0.99647157048022483</v>
      </c>
      <c r="X41" s="2">
        <v>-0.77349013720078375</v>
      </c>
      <c r="Y41" s="2">
        <v>-0.79865137043808776</v>
      </c>
      <c r="Z41" s="2">
        <v>-1.0755996472823748</v>
      </c>
      <c r="AA41" s="2">
        <v>-0.81423257846468067</v>
      </c>
      <c r="AC41">
        <f t="shared" si="0"/>
        <v>-0.72409017307116696</v>
      </c>
      <c r="AD41">
        <f t="shared" si="1"/>
        <v>-0.80125478941032602</v>
      </c>
      <c r="AE41">
        <f t="shared" si="2"/>
        <v>1.0549426826964607</v>
      </c>
      <c r="AF41">
        <f t="shared" si="3"/>
        <v>0.74203033612498648</v>
      </c>
      <c r="AG41">
        <f t="shared" si="4"/>
        <v>7.7164616339159012E-2</v>
      </c>
      <c r="AH41">
        <f t="shared" si="5"/>
        <v>0.12957833927303486</v>
      </c>
      <c r="AI41" t="s">
        <v>78</v>
      </c>
      <c r="AL41" t="s">
        <v>104</v>
      </c>
      <c r="AM41">
        <v>0.33452807305114468</v>
      </c>
      <c r="AN41">
        <v>0.3875065556644488</v>
      </c>
    </row>
    <row r="42" spans="1:40" x14ac:dyDescent="0.2">
      <c r="A42" t="s">
        <v>79</v>
      </c>
      <c r="B42" s="1">
        <v>0.86539636515137031</v>
      </c>
      <c r="C42" s="1">
        <v>2.8840133614669803</v>
      </c>
      <c r="D42" s="1">
        <v>2.5136676649785605</v>
      </c>
      <c r="E42" s="1">
        <v>2.0091605262599002</v>
      </c>
      <c r="F42" s="1">
        <v>0.27932839323579739</v>
      </c>
      <c r="G42" s="1">
        <v>2.4329790942052303</v>
      </c>
      <c r="H42" s="1">
        <v>0.64850644635779386</v>
      </c>
      <c r="I42" s="1">
        <v>1.6310375435141635</v>
      </c>
      <c r="J42" s="1">
        <v>1.9551995010313132</v>
      </c>
      <c r="K42" s="1">
        <v>2.0296149352918533</v>
      </c>
      <c r="L42" s="1">
        <v>1.4300961086088932</v>
      </c>
      <c r="M42" s="1">
        <v>3.5113617880617132</v>
      </c>
      <c r="N42" s="2">
        <v>2.3596484575089018</v>
      </c>
      <c r="O42" s="2">
        <v>2.6352286308099817</v>
      </c>
      <c r="P42" s="2">
        <v>2.6555231189809319</v>
      </c>
      <c r="Q42" s="2">
        <v>0.7295934286959066</v>
      </c>
      <c r="R42" s="2">
        <v>1.1837044680965678</v>
      </c>
      <c r="S42" s="2">
        <v>1.672335361496196</v>
      </c>
      <c r="T42" s="2">
        <v>2.2248571190673019</v>
      </c>
      <c r="U42" s="2">
        <v>2.0087502221699216</v>
      </c>
      <c r="V42" s="2">
        <v>0.7813846274817825</v>
      </c>
      <c r="W42" s="2">
        <v>1.4459036361817987</v>
      </c>
      <c r="X42" s="2">
        <v>1.3352625417302018</v>
      </c>
      <c r="Y42" s="2">
        <v>1.1329935838790388</v>
      </c>
      <c r="Z42" s="2">
        <v>2.1022845016799119</v>
      </c>
      <c r="AA42" s="2">
        <v>1.7836938063479919</v>
      </c>
      <c r="AC42">
        <f t="shared" si="0"/>
        <v>1.8491968106802972</v>
      </c>
      <c r="AD42">
        <f t="shared" si="1"/>
        <v>1.7179402502947454</v>
      </c>
      <c r="AE42">
        <f t="shared" si="2"/>
        <v>1.0952472257893366</v>
      </c>
      <c r="AF42">
        <f t="shared" si="3"/>
        <v>0.6877135185552854</v>
      </c>
      <c r="AG42">
        <f t="shared" si="4"/>
        <v>0.13125656038555175</v>
      </c>
      <c r="AH42">
        <f t="shared" si="5"/>
        <v>0.16259243853967126</v>
      </c>
      <c r="AI42" t="s">
        <v>79</v>
      </c>
      <c r="AL42" t="s">
        <v>50</v>
      </c>
      <c r="AM42">
        <v>-0.4694759002722072</v>
      </c>
      <c r="AN42">
        <v>0.3728770921151372</v>
      </c>
    </row>
    <row r="43" spans="1:40" x14ac:dyDescent="0.2">
      <c r="A43" t="s">
        <v>80</v>
      </c>
      <c r="B43" s="1">
        <v>1.4523165358167069</v>
      </c>
      <c r="C43" s="1">
        <v>1.670618996969697</v>
      </c>
      <c r="D43" s="1">
        <v>2.3926053116082668</v>
      </c>
      <c r="E43" s="1">
        <v>5.0304003711064667</v>
      </c>
      <c r="F43" s="1">
        <v>1.5492542384690868</v>
      </c>
      <c r="G43" s="1">
        <v>0.52065844188375288</v>
      </c>
      <c r="H43" s="1">
        <v>0.16994473203725474</v>
      </c>
      <c r="I43" s="1">
        <v>0.62012877720709825</v>
      </c>
      <c r="J43" s="1">
        <v>1.7953414648328161</v>
      </c>
      <c r="K43" s="1">
        <v>0.86666262606956623</v>
      </c>
      <c r="L43" s="1">
        <v>0.23714257674522432</v>
      </c>
      <c r="M43" s="1">
        <v>1.6153619850594563</v>
      </c>
      <c r="N43" s="2">
        <v>-0.72332763348365858</v>
      </c>
      <c r="O43" s="2">
        <v>3.9759910592977974</v>
      </c>
      <c r="P43" s="2">
        <v>4.7710922653887371</v>
      </c>
      <c r="Q43" s="2">
        <v>3.6957587295820575</v>
      </c>
      <c r="R43" s="2">
        <v>-0.38664504368294156</v>
      </c>
      <c r="S43" s="2">
        <v>-1.4350308690567326</v>
      </c>
      <c r="T43" s="2">
        <v>3.2194401207136476</v>
      </c>
      <c r="U43" s="2">
        <v>3.3605790087806175</v>
      </c>
      <c r="V43" s="2">
        <v>4.2101579016085475</v>
      </c>
      <c r="W43" s="2">
        <v>-0.77324088028911053</v>
      </c>
      <c r="X43" s="2">
        <v>3.9593600318438078</v>
      </c>
      <c r="Y43" s="2">
        <v>4.8515681678149569</v>
      </c>
      <c r="Z43" s="2">
        <v>-0.97956540569354256</v>
      </c>
      <c r="AA43" s="2">
        <v>2.3490141481928273</v>
      </c>
      <c r="AC43">
        <f t="shared" si="0"/>
        <v>1.493369671483783</v>
      </c>
      <c r="AD43">
        <f t="shared" si="1"/>
        <v>2.1496536857869293</v>
      </c>
      <c r="AE43">
        <f t="shared" si="2"/>
        <v>0.63451051861683871</v>
      </c>
      <c r="AF43">
        <f t="shared" si="3"/>
        <v>0.39076946151862701</v>
      </c>
      <c r="AG43">
        <f t="shared" si="4"/>
        <v>-0.65628401430314631</v>
      </c>
      <c r="AH43">
        <f t="shared" si="5"/>
        <v>0.4080793835719177</v>
      </c>
      <c r="AI43" t="s">
        <v>80</v>
      </c>
      <c r="AL43" t="s">
        <v>116</v>
      </c>
      <c r="AM43">
        <v>-0.32517587775376755</v>
      </c>
      <c r="AN43">
        <v>0.36167526640631115</v>
      </c>
    </row>
    <row r="44" spans="1:40" x14ac:dyDescent="0.2">
      <c r="A44" t="s">
        <v>81</v>
      </c>
      <c r="B44" s="1">
        <v>1.0228224724989796</v>
      </c>
      <c r="C44" s="1">
        <v>2.8050757302098095</v>
      </c>
      <c r="D44" s="1">
        <v>1.6312856119668595</v>
      </c>
      <c r="E44" s="1">
        <v>2.3727205011952996</v>
      </c>
      <c r="F44" s="1">
        <v>1.3381991857485995</v>
      </c>
      <c r="G44" s="1">
        <v>1.5614836262418497</v>
      </c>
      <c r="H44" s="1">
        <v>1.6604935243643895</v>
      </c>
      <c r="I44" s="1">
        <v>1.1673283927395941</v>
      </c>
      <c r="J44" s="1">
        <v>1.2529175721085593</v>
      </c>
      <c r="K44" s="1">
        <v>0.94824620992907915</v>
      </c>
      <c r="L44" s="1">
        <v>2.3874976325252253</v>
      </c>
      <c r="M44" s="1">
        <v>1.0537411703148492</v>
      </c>
      <c r="N44" s="2">
        <v>1.5502576566616424</v>
      </c>
      <c r="O44" s="2">
        <v>1.9496050841050123</v>
      </c>
      <c r="P44" s="2">
        <v>4.5686819579738325</v>
      </c>
      <c r="Q44" s="2">
        <v>4.0403327029437328</v>
      </c>
      <c r="R44" s="2">
        <v>0.90504037119304237</v>
      </c>
      <c r="S44" s="2">
        <v>0.81790117430315235</v>
      </c>
      <c r="T44" s="2">
        <v>1.9551293773527725</v>
      </c>
      <c r="U44" s="2">
        <v>4.2042725206693321</v>
      </c>
      <c r="V44" s="2">
        <v>3.2825390386363722</v>
      </c>
      <c r="W44" s="2">
        <v>0.70033191287408236</v>
      </c>
      <c r="X44" s="2">
        <v>3.4462912883021426</v>
      </c>
      <c r="Y44" s="2">
        <v>4.3635721783458621</v>
      </c>
      <c r="Z44" s="2">
        <v>-0.15260216460421161</v>
      </c>
      <c r="AA44" s="2">
        <v>1.9837868534723424</v>
      </c>
      <c r="AC44">
        <f t="shared" ref="AC44:AC75" si="6">AVERAGE(B44:M44)</f>
        <v>1.6001509691535913</v>
      </c>
      <c r="AD44">
        <f t="shared" ref="AD44:AD75" si="7">AVERAGE(N44:AA44)</f>
        <v>2.4010814251592225</v>
      </c>
      <c r="AE44">
        <f t="shared" ref="AE44:AE75" si="8">2^(AC44 - AD44)</f>
        <v>0.5739788744666684</v>
      </c>
      <c r="AF44">
        <f t="shared" ref="AF44:AF75" si="9">_xlfn.T.TEST(B44:M44,N44:AA44, 2, 3)</f>
        <v>9.5133700834425294E-2</v>
      </c>
      <c r="AG44">
        <f t="shared" ref="AG44:AG75" si="10">LOG(AE44,2)</f>
        <v>-0.80093045600563106</v>
      </c>
      <c r="AH44">
        <f t="shared" ref="AH44:AH75" si="11">-LOG(AF44,10)</f>
        <v>1.0216656082600104</v>
      </c>
      <c r="AI44" t="s">
        <v>81</v>
      </c>
      <c r="AL44" t="s">
        <v>103</v>
      </c>
      <c r="AM44">
        <v>0.22707775475958372</v>
      </c>
      <c r="AN44">
        <v>0.34071522357433842</v>
      </c>
    </row>
    <row r="45" spans="1:40" x14ac:dyDescent="0.2">
      <c r="A45" t="s">
        <v>82</v>
      </c>
      <c r="B45" s="1">
        <v>-0.3841562720085186</v>
      </c>
      <c r="C45" s="1">
        <v>5.7253133941401515</v>
      </c>
      <c r="D45" s="1">
        <v>2.0956021487888914</v>
      </c>
      <c r="E45" s="1">
        <v>1.8299037394525115</v>
      </c>
      <c r="F45" s="1">
        <v>1.6357478169960715</v>
      </c>
      <c r="G45" s="1">
        <v>2.4889359368719015</v>
      </c>
      <c r="H45" s="1">
        <v>1.2305789414929416</v>
      </c>
      <c r="I45" s="1">
        <v>1.2754296513415944</v>
      </c>
      <c r="J45" s="1">
        <v>2.5552940728027744</v>
      </c>
      <c r="K45" s="1">
        <v>1.2002572633799644</v>
      </c>
      <c r="L45" s="1">
        <v>4.5596055578477444</v>
      </c>
      <c r="M45" s="1">
        <v>3.1287667444724243</v>
      </c>
      <c r="N45" s="2">
        <v>2.8794405267829206</v>
      </c>
      <c r="O45" s="2">
        <v>2.9921321932054905</v>
      </c>
      <c r="P45" s="2">
        <v>4.2050864191487207</v>
      </c>
      <c r="Q45" s="2">
        <v>1.3993065344517426</v>
      </c>
      <c r="R45" s="2">
        <v>1.8634009808293244</v>
      </c>
      <c r="S45" s="2">
        <v>2.2051520790524002</v>
      </c>
      <c r="T45" s="2">
        <v>2.3177227144429908</v>
      </c>
      <c r="U45" s="2">
        <v>3.0683096277154203</v>
      </c>
      <c r="V45" s="2">
        <v>2.1427876944740505</v>
      </c>
      <c r="W45" s="2">
        <v>2.4198688981933207</v>
      </c>
      <c r="X45" s="2">
        <v>1.2086239717674665</v>
      </c>
      <c r="Y45" s="2">
        <v>1.8308296256592924</v>
      </c>
      <c r="Z45" s="2">
        <v>3.0744218972360402</v>
      </c>
      <c r="AA45" s="2">
        <v>2.9398605614099105</v>
      </c>
      <c r="AC45">
        <f t="shared" si="6"/>
        <v>2.2784399162982045</v>
      </c>
      <c r="AD45">
        <f t="shared" si="7"/>
        <v>2.4676388374549352</v>
      </c>
      <c r="AE45">
        <f t="shared" si="8"/>
        <v>0.87709260542914302</v>
      </c>
      <c r="AF45">
        <f t="shared" si="9"/>
        <v>0.71759329939637251</v>
      </c>
      <c r="AG45">
        <f t="shared" si="10"/>
        <v>-0.18919892115673079</v>
      </c>
      <c r="AH45">
        <f t="shared" si="11"/>
        <v>0.14412162521586952</v>
      </c>
      <c r="AI45" t="s">
        <v>82</v>
      </c>
      <c r="AL45" t="s">
        <v>69</v>
      </c>
      <c r="AM45">
        <v>-0.110399564697161</v>
      </c>
      <c r="AN45">
        <v>0.33065540005369104</v>
      </c>
    </row>
    <row r="46" spans="1:40" x14ac:dyDescent="0.2">
      <c r="A46" t="s">
        <v>83</v>
      </c>
      <c r="B46" s="1">
        <v>-0.64263074249018037</v>
      </c>
      <c r="C46" s="1">
        <v>0.76532804266318955</v>
      </c>
      <c r="D46" s="1">
        <v>0.72399723757686962</v>
      </c>
      <c r="E46" s="1">
        <v>4.1706829254598621E-2</v>
      </c>
      <c r="F46" s="1">
        <v>-0.98278336854047443</v>
      </c>
      <c r="G46" s="1">
        <v>-0.24702885099106339</v>
      </c>
      <c r="H46" s="1">
        <v>-0.31584209808992386</v>
      </c>
      <c r="I46" s="1">
        <v>-0.42597692280359833</v>
      </c>
      <c r="J46" s="1">
        <v>0.10174881640312672</v>
      </c>
      <c r="K46" s="1">
        <v>-0.61679272572275545</v>
      </c>
      <c r="L46" s="1">
        <v>-0.92967285707107328</v>
      </c>
      <c r="M46" s="1">
        <v>0.71231454305295672</v>
      </c>
      <c r="N46" s="2">
        <v>-0.22531158057325029</v>
      </c>
      <c r="O46" s="2">
        <v>0.64835958073023581</v>
      </c>
      <c r="P46" s="2">
        <v>0.23797741795468286</v>
      </c>
      <c r="Q46" s="2">
        <v>-0.82956479392727023</v>
      </c>
      <c r="R46" s="2">
        <v>-0.20744355813619009</v>
      </c>
      <c r="S46" s="2">
        <v>-0.65944735956118017</v>
      </c>
      <c r="T46" s="2">
        <v>0.31500496967063885</v>
      </c>
      <c r="U46" s="2">
        <v>0.22305458825653979</v>
      </c>
      <c r="V46" s="2">
        <v>0.18766081401969781</v>
      </c>
      <c r="W46" s="2">
        <v>-4.7425572189290111E-2</v>
      </c>
      <c r="X46" s="2">
        <v>-0.96014999777166021</v>
      </c>
      <c r="Y46" s="2">
        <v>-0.54160648154359026</v>
      </c>
      <c r="Z46" s="2">
        <v>1.7779176658595279</v>
      </c>
      <c r="AA46" s="2">
        <v>0.24816620129083378</v>
      </c>
      <c r="AC46">
        <f t="shared" si="6"/>
        <v>-0.15130267472986064</v>
      </c>
      <c r="AD46">
        <f t="shared" si="7"/>
        <v>1.1942278148551842E-2</v>
      </c>
      <c r="AE46">
        <f t="shared" si="8"/>
        <v>0.89301421602780573</v>
      </c>
      <c r="AF46">
        <f t="shared" si="9"/>
        <v>0.53554352019733642</v>
      </c>
      <c r="AG46">
        <f t="shared" si="10"/>
        <v>-0.16324495287841229</v>
      </c>
      <c r="AH46">
        <f t="shared" si="11"/>
        <v>0.27120523106262218</v>
      </c>
      <c r="AI46" t="s">
        <v>83</v>
      </c>
      <c r="AL46" t="s">
        <v>112</v>
      </c>
      <c r="AM46">
        <v>-0.1880517370529986</v>
      </c>
      <c r="AN46">
        <v>0.32956981191452428</v>
      </c>
    </row>
    <row r="47" spans="1:40" x14ac:dyDescent="0.2">
      <c r="A47" t="s">
        <v>84</v>
      </c>
      <c r="B47" s="1">
        <v>0.83570464644545361</v>
      </c>
      <c r="C47" s="1">
        <v>4.933531262527433</v>
      </c>
      <c r="D47" s="1">
        <v>2.1108829140790735</v>
      </c>
      <c r="E47" s="1">
        <v>1.2697687518937335</v>
      </c>
      <c r="F47" s="1">
        <v>1.2446737239472836</v>
      </c>
      <c r="G47" s="1">
        <v>1.2213926671444137</v>
      </c>
      <c r="H47" s="1">
        <v>2.0496863020620957</v>
      </c>
      <c r="I47" s="1">
        <v>2.0737102150249225</v>
      </c>
      <c r="J47" s="1">
        <v>2.1850383652691026</v>
      </c>
      <c r="K47" s="1">
        <v>1.8493645904385727</v>
      </c>
      <c r="L47" s="1">
        <v>1.8798739842970127</v>
      </c>
      <c r="M47" s="1">
        <v>1.5118063382824627</v>
      </c>
      <c r="N47" s="2">
        <v>5.2190203535852611</v>
      </c>
      <c r="O47" s="2">
        <v>2.0890717449822915</v>
      </c>
      <c r="P47" s="2">
        <v>2.0380633349860116</v>
      </c>
      <c r="Q47" s="2">
        <v>4.3618711741772511</v>
      </c>
      <c r="R47" s="2">
        <v>1.2583729525242355</v>
      </c>
      <c r="S47" s="2">
        <v>3.5332713391133015</v>
      </c>
      <c r="T47" s="2">
        <v>1.7191555322579217</v>
      </c>
      <c r="U47" s="2">
        <v>1.5241903659431717</v>
      </c>
      <c r="V47" s="2">
        <v>3.2434932983443217</v>
      </c>
      <c r="W47" s="2">
        <v>1.0959559142402546</v>
      </c>
      <c r="X47" s="2">
        <v>3.5369801093971915</v>
      </c>
      <c r="Y47" s="2">
        <v>3.4445480742127317</v>
      </c>
      <c r="Z47" s="2">
        <v>2.0888778870905513</v>
      </c>
      <c r="AA47" s="2">
        <v>1.1836491253162467</v>
      </c>
      <c r="AC47">
        <f t="shared" si="6"/>
        <v>1.9304528134509633</v>
      </c>
      <c r="AD47">
        <f t="shared" si="7"/>
        <v>2.5954658004407674</v>
      </c>
      <c r="AE47">
        <f t="shared" si="8"/>
        <v>0.63068302704745227</v>
      </c>
      <c r="AF47">
        <f t="shared" si="9"/>
        <v>0.15932493002080275</v>
      </c>
      <c r="AG47">
        <f t="shared" si="10"/>
        <v>-0.66501298698980416</v>
      </c>
      <c r="AH47">
        <f t="shared" si="11"/>
        <v>0.79771626360024384</v>
      </c>
      <c r="AI47" t="s">
        <v>84</v>
      </c>
      <c r="AL47" t="s">
        <v>117</v>
      </c>
      <c r="AM47">
        <v>-0.28470735230249533</v>
      </c>
      <c r="AN47">
        <v>0.29726221147427162</v>
      </c>
    </row>
    <row r="48" spans="1:40" x14ac:dyDescent="0.2">
      <c r="A48" t="s">
        <v>85</v>
      </c>
      <c r="B48" s="1">
        <v>0.44700115576622168</v>
      </c>
      <c r="C48" s="1">
        <v>3.8623793495947414</v>
      </c>
      <c r="D48" s="1">
        <v>1.6362956594499016</v>
      </c>
      <c r="E48" s="1">
        <v>-6.0774942090149442E-2</v>
      </c>
      <c r="F48" s="1">
        <v>2.1408186455320219</v>
      </c>
      <c r="G48" s="1">
        <v>1.1416822099212915</v>
      </c>
      <c r="H48" s="1">
        <v>2.3370968393165299</v>
      </c>
      <c r="I48" s="1">
        <v>0.17191738966047404</v>
      </c>
      <c r="J48" s="1">
        <v>0.14857213282003184</v>
      </c>
      <c r="K48" s="1">
        <v>0.11331516659258904</v>
      </c>
      <c r="L48" s="1">
        <v>2.3987849411478308</v>
      </c>
      <c r="M48" s="1">
        <v>1.5300797855609611</v>
      </c>
      <c r="N48" s="2">
        <v>0.59937475519560901</v>
      </c>
      <c r="O48" s="2">
        <v>1.0964254724995235</v>
      </c>
      <c r="P48" s="2">
        <v>3.0180954855551403</v>
      </c>
      <c r="Q48" s="2">
        <v>1.2027655304455114</v>
      </c>
      <c r="R48" s="2">
        <v>0.9605344126188855</v>
      </c>
      <c r="S48" s="2">
        <v>1.3341252270075175</v>
      </c>
      <c r="T48" s="2">
        <v>-0.35412529418288452</v>
      </c>
      <c r="U48" s="2">
        <v>2.4419479851510206</v>
      </c>
      <c r="V48" s="2">
        <v>1.4277552856104305</v>
      </c>
      <c r="W48" s="2">
        <v>1.8894867800596704</v>
      </c>
      <c r="X48" s="2">
        <v>0.94711262410372754</v>
      </c>
      <c r="Y48" s="2">
        <v>1.6691416552432803</v>
      </c>
      <c r="Z48" s="2">
        <v>-2.6538385487241523E-2</v>
      </c>
      <c r="AA48" s="2">
        <v>1.6887212365131603</v>
      </c>
      <c r="AC48">
        <f t="shared" si="6"/>
        <v>1.3222640277727036</v>
      </c>
      <c r="AD48">
        <f t="shared" si="7"/>
        <v>1.2782016264523823</v>
      </c>
      <c r="AE48">
        <f t="shared" si="8"/>
        <v>1.0310129125403988</v>
      </c>
      <c r="AF48">
        <f t="shared" si="9"/>
        <v>0.91824258981709694</v>
      </c>
      <c r="AG48">
        <f t="shared" si="10"/>
        <v>4.4062401320321111E-2</v>
      </c>
      <c r="AH48">
        <f t="shared" si="11"/>
        <v>3.7042567708538532E-2</v>
      </c>
      <c r="AI48" t="s">
        <v>85</v>
      </c>
      <c r="AL48" t="s">
        <v>97</v>
      </c>
      <c r="AM48">
        <v>-0.34746858560561439</v>
      </c>
      <c r="AN48">
        <v>0.29442622693845305</v>
      </c>
    </row>
    <row r="49" spans="1:40" x14ac:dyDescent="0.2">
      <c r="A49" t="s">
        <v>86</v>
      </c>
      <c r="B49" s="1">
        <v>-0.47074368292348501</v>
      </c>
      <c r="C49" s="1">
        <v>-0.30148499108540899</v>
      </c>
      <c r="D49" s="1">
        <v>-0.40884809705299802</v>
      </c>
      <c r="E49" s="1">
        <v>-0.11211567239192871</v>
      </c>
      <c r="F49" s="1">
        <v>-0.40782772864920902</v>
      </c>
      <c r="G49" s="1">
        <v>-0.78221795074201506</v>
      </c>
      <c r="H49" s="1">
        <v>-0.35939942130764119</v>
      </c>
      <c r="I49" s="1">
        <v>-5.4752462111336997E-2</v>
      </c>
      <c r="J49" s="1">
        <v>-0.28678125022304701</v>
      </c>
      <c r="K49" s="1">
        <v>0.37410981769931501</v>
      </c>
      <c r="L49" s="1">
        <v>-0.42841958262001695</v>
      </c>
      <c r="M49" s="1">
        <v>-0.87967625289334306</v>
      </c>
      <c r="N49" s="2">
        <v>-1.4306695775315297</v>
      </c>
      <c r="O49" s="2">
        <v>-0.18269960010629543</v>
      </c>
      <c r="P49" s="2">
        <v>-0.39763271896929586</v>
      </c>
      <c r="Q49" s="2">
        <v>-0.52523563943558782</v>
      </c>
      <c r="R49" s="2">
        <v>7.0567724879152166E-2</v>
      </c>
      <c r="S49" s="2">
        <v>-0.68512122986204183</v>
      </c>
      <c r="T49" s="2">
        <v>-0.94561817989304087</v>
      </c>
      <c r="U49" s="2">
        <v>-0.56945449005920878</v>
      </c>
      <c r="V49" s="2">
        <v>-1.0646938164791058</v>
      </c>
      <c r="W49" s="2">
        <v>-0.13804435511683413</v>
      </c>
      <c r="X49" s="2">
        <v>-0.71810262729749286</v>
      </c>
      <c r="Y49" s="2">
        <v>0.1678353823030502</v>
      </c>
      <c r="Z49" s="2">
        <v>-0.51149908153439483</v>
      </c>
      <c r="AA49" s="2">
        <v>-0.37443400292718187</v>
      </c>
      <c r="AC49">
        <f t="shared" si="6"/>
        <v>-0.34317977285842627</v>
      </c>
      <c r="AD49">
        <f t="shared" si="7"/>
        <v>-0.52177158657355771</v>
      </c>
      <c r="AE49">
        <f t="shared" si="8"/>
        <v>1.1317786390853692</v>
      </c>
      <c r="AF49">
        <f t="shared" si="9"/>
        <v>0.24623871399731501</v>
      </c>
      <c r="AG49">
        <f t="shared" si="10"/>
        <v>0.17859181371513136</v>
      </c>
      <c r="AH49">
        <f t="shared" si="11"/>
        <v>0.6086436656466454</v>
      </c>
      <c r="AI49" t="s">
        <v>86</v>
      </c>
      <c r="AL49" t="s">
        <v>107</v>
      </c>
      <c r="AM49">
        <v>-0.40051771264606506</v>
      </c>
      <c r="AN49">
        <v>0.28635077680876808</v>
      </c>
    </row>
    <row r="50" spans="1:40" x14ac:dyDescent="0.2">
      <c r="A50" t="s">
        <v>87</v>
      </c>
      <c r="B50" s="1">
        <v>0.71000657882730089</v>
      </c>
      <c r="C50" s="1">
        <v>3.5137378881613208</v>
      </c>
      <c r="D50" s="1">
        <v>3.3557030423451812</v>
      </c>
      <c r="E50" s="1">
        <v>0.99499925439339076</v>
      </c>
      <c r="F50" s="1">
        <v>1.0779750869352709</v>
      </c>
      <c r="G50" s="1">
        <v>0.11231230742333087</v>
      </c>
      <c r="H50" s="1">
        <v>1.4450713456750286</v>
      </c>
      <c r="I50" s="1">
        <v>3.1577006183289518</v>
      </c>
      <c r="J50" s="1">
        <v>1.3814067819778715</v>
      </c>
      <c r="K50" s="1">
        <v>2.6845136802925214</v>
      </c>
      <c r="L50" s="1">
        <v>2.1723752515984014</v>
      </c>
      <c r="M50" s="1">
        <v>0.93962750316071153</v>
      </c>
      <c r="N50" s="2">
        <v>3.4524294332478793</v>
      </c>
      <c r="O50" s="2">
        <v>2.5898983294541993</v>
      </c>
      <c r="P50" s="2">
        <v>2.5518967606856293</v>
      </c>
      <c r="Q50" s="2">
        <v>3.5012737997433292</v>
      </c>
      <c r="R50" s="2">
        <v>1.3850869100216823</v>
      </c>
      <c r="S50" s="2">
        <v>3.3098228255479092</v>
      </c>
      <c r="T50" s="2">
        <v>1.3061915812307303</v>
      </c>
      <c r="U50" s="2">
        <v>2.0418279299683793</v>
      </c>
      <c r="V50" s="2">
        <v>2.7111792537869492</v>
      </c>
      <c r="W50" s="2">
        <v>1.3081415101746183</v>
      </c>
      <c r="X50" s="2">
        <v>3.3210168194237495</v>
      </c>
      <c r="Y50" s="2">
        <v>2.9186231769929694</v>
      </c>
      <c r="Z50" s="2">
        <v>1.7761350533763784</v>
      </c>
      <c r="AA50" s="2">
        <v>2.2875246241323994</v>
      </c>
      <c r="AC50">
        <f t="shared" si="6"/>
        <v>1.7954524449266069</v>
      </c>
      <c r="AD50">
        <f t="shared" si="7"/>
        <v>2.461503429127629</v>
      </c>
      <c r="AE50">
        <f t="shared" si="8"/>
        <v>0.63022942337045584</v>
      </c>
      <c r="AF50">
        <f t="shared" si="9"/>
        <v>0.10630079313376162</v>
      </c>
      <c r="AG50">
        <f t="shared" si="10"/>
        <v>-0.66605098420102216</v>
      </c>
      <c r="AH50">
        <f t="shared" si="11"/>
        <v>0.97346349509729535</v>
      </c>
      <c r="AI50" t="s">
        <v>87</v>
      </c>
      <c r="AL50" t="s">
        <v>83</v>
      </c>
      <c r="AM50">
        <v>-0.16324495287841229</v>
      </c>
      <c r="AN50">
        <v>0.27120523106262218</v>
      </c>
    </row>
    <row r="51" spans="1:40" x14ac:dyDescent="0.2">
      <c r="A51" t="s">
        <v>88</v>
      </c>
      <c r="B51" s="1">
        <v>0.86600157156676838</v>
      </c>
      <c r="C51" s="1">
        <v>2.5702810194168784</v>
      </c>
      <c r="D51" s="1">
        <v>1.0694260364726085</v>
      </c>
      <c r="E51" s="1">
        <v>2.9090336985623466E-2</v>
      </c>
      <c r="F51" s="1">
        <v>8.1524513396840415E-2</v>
      </c>
      <c r="G51" s="1">
        <v>0.33428105133720853</v>
      </c>
      <c r="H51" s="1">
        <v>0.60811808140189494</v>
      </c>
      <c r="I51" s="1">
        <v>1.3285649656580309</v>
      </c>
      <c r="J51" s="1">
        <v>-0.14622263430179705</v>
      </c>
      <c r="K51" s="1">
        <v>1.018765027494321</v>
      </c>
      <c r="L51" s="1">
        <v>2.5012491613706613</v>
      </c>
      <c r="M51" s="1">
        <v>1.370950360997661</v>
      </c>
      <c r="N51" s="2">
        <v>0.87217555722809736</v>
      </c>
      <c r="O51" s="2">
        <v>1.6664136535381593</v>
      </c>
      <c r="P51" s="2">
        <v>2.5242587436144044</v>
      </c>
      <c r="Q51" s="2">
        <v>0.77618738363367235</v>
      </c>
      <c r="R51" s="2">
        <v>0.71240140953166831</v>
      </c>
      <c r="S51" s="2">
        <v>0.94965358536220634</v>
      </c>
      <c r="T51" s="2">
        <v>0.23384926595537725</v>
      </c>
      <c r="U51" s="2">
        <v>2.3741349666853844</v>
      </c>
      <c r="V51" s="2">
        <v>1.0814460013879128</v>
      </c>
      <c r="W51" s="2">
        <v>1.225029287033587</v>
      </c>
      <c r="X51" s="2">
        <v>0.13129022776361432</v>
      </c>
      <c r="Y51" s="2">
        <v>1.1021555244915664</v>
      </c>
      <c r="Z51" s="2">
        <v>0.68105871581713229</v>
      </c>
      <c r="AA51" s="2">
        <v>1.9208118615012824</v>
      </c>
      <c r="AC51">
        <f t="shared" si="6"/>
        <v>0.96933579098305833</v>
      </c>
      <c r="AD51">
        <f t="shared" si="7"/>
        <v>1.1607761559674332</v>
      </c>
      <c r="AE51">
        <f t="shared" si="8"/>
        <v>0.87573096811902973</v>
      </c>
      <c r="AF51">
        <f t="shared" si="9"/>
        <v>0.55732274580083585</v>
      </c>
      <c r="AG51">
        <f t="shared" si="10"/>
        <v>-0.19144036498437486</v>
      </c>
      <c r="AH51">
        <f t="shared" si="11"/>
        <v>0.25389323188690843</v>
      </c>
      <c r="AI51" t="s">
        <v>88</v>
      </c>
      <c r="AL51" t="s">
        <v>88</v>
      </c>
      <c r="AM51">
        <v>-0.19144036498437486</v>
      </c>
      <c r="AN51">
        <v>0.25389323188690843</v>
      </c>
    </row>
    <row r="52" spans="1:40" x14ac:dyDescent="0.2">
      <c r="A52" t="s">
        <v>89</v>
      </c>
      <c r="B52" s="1">
        <v>1.5861300061128414</v>
      </c>
      <c r="C52" s="1">
        <v>1.9842069283926711</v>
      </c>
      <c r="D52" s="1">
        <v>1.7097750213566711</v>
      </c>
      <c r="E52" s="1">
        <v>1.8593271923640611</v>
      </c>
      <c r="F52" s="1">
        <v>9.8708150067056299E-2</v>
      </c>
      <c r="G52" s="1">
        <v>1.7061745886452813</v>
      </c>
      <c r="H52" s="1">
        <v>0.72452889637758333</v>
      </c>
      <c r="I52" s="1">
        <v>1.9313642305444279</v>
      </c>
      <c r="J52" s="1">
        <v>1.722859119426118</v>
      </c>
      <c r="K52" s="1">
        <v>2.4410134673650479</v>
      </c>
      <c r="L52" s="1">
        <v>2.0042435814226378</v>
      </c>
      <c r="M52" s="1">
        <v>4.3999403134312285</v>
      </c>
      <c r="N52" s="2">
        <v>1.7812816561427414</v>
      </c>
      <c r="O52" s="2">
        <v>2.6498721980991813</v>
      </c>
      <c r="P52" s="2">
        <v>2.2647778623289314</v>
      </c>
      <c r="Q52" s="2">
        <v>0.56706455476976636</v>
      </c>
      <c r="R52" s="2">
        <v>1.0638256969074571</v>
      </c>
      <c r="S52" s="2">
        <v>1.7760829780236873</v>
      </c>
      <c r="T52" s="2">
        <v>1.6324437426828433</v>
      </c>
      <c r="U52" s="2">
        <v>1.6505527628249972</v>
      </c>
      <c r="V52" s="2">
        <v>0.37425536544291726</v>
      </c>
      <c r="W52" s="2">
        <v>1.3390113482174504</v>
      </c>
      <c r="X52" s="2">
        <v>0.54642845481523228</v>
      </c>
      <c r="Y52" s="2">
        <v>1.1009265995673307</v>
      </c>
      <c r="Z52" s="2">
        <v>2.5600361045388516</v>
      </c>
      <c r="AA52" s="2">
        <v>1.7492542362575203</v>
      </c>
      <c r="AC52">
        <f t="shared" si="6"/>
        <v>1.8473559579588024</v>
      </c>
      <c r="AD52">
        <f t="shared" si="7"/>
        <v>1.5039866829013506</v>
      </c>
      <c r="AE52">
        <f t="shared" si="8"/>
        <v>1.2687161008345764</v>
      </c>
      <c r="AF52">
        <f t="shared" si="9"/>
        <v>0.33945283103379409</v>
      </c>
      <c r="AG52">
        <f t="shared" si="10"/>
        <v>0.34336927505745179</v>
      </c>
      <c r="AH52">
        <f t="shared" si="11"/>
        <v>0.46922056496211095</v>
      </c>
      <c r="AI52" t="s">
        <v>89</v>
      </c>
      <c r="AL52" t="s">
        <v>63</v>
      </c>
      <c r="AM52">
        <v>-0.18409814929050067</v>
      </c>
      <c r="AN52">
        <v>0.24927272609904577</v>
      </c>
    </row>
    <row r="53" spans="1:40" x14ac:dyDescent="0.2">
      <c r="A53" t="s">
        <v>90</v>
      </c>
      <c r="B53" s="1">
        <v>1.2310080883395047</v>
      </c>
      <c r="C53" s="1">
        <v>-0.64794445439335224</v>
      </c>
      <c r="D53" s="1">
        <v>1.9669207301681249</v>
      </c>
      <c r="E53" s="1">
        <v>1.0985606685777847</v>
      </c>
      <c r="F53" s="1">
        <v>-6.7148073392040236E-2</v>
      </c>
      <c r="G53" s="1">
        <v>0.34532089094786078</v>
      </c>
      <c r="H53" s="1">
        <v>-2.4462595624829664E-2</v>
      </c>
      <c r="I53" s="1">
        <v>1.6466870332147729</v>
      </c>
      <c r="J53" s="1">
        <v>-0.23324446813439509</v>
      </c>
      <c r="K53" s="1">
        <v>0.66016266796406287</v>
      </c>
      <c r="L53" s="1">
        <v>0.844688328986543</v>
      </c>
      <c r="M53" s="1">
        <v>0.92134636485699284</v>
      </c>
      <c r="N53" s="2">
        <v>2.0234025304829983E-2</v>
      </c>
      <c r="O53" s="2">
        <v>0.32557068136507145</v>
      </c>
      <c r="P53" s="2">
        <v>1.0987991423059751</v>
      </c>
      <c r="Q53" s="2">
        <v>0.24013225917706596</v>
      </c>
      <c r="R53" s="2">
        <v>1.3049369750211139</v>
      </c>
      <c r="S53" s="2">
        <v>0.57145408375578599</v>
      </c>
      <c r="T53" s="2">
        <v>-5.9789568718549013E-2</v>
      </c>
      <c r="U53" s="2">
        <v>0.76190827377241499</v>
      </c>
      <c r="V53" s="2">
        <v>-0.23201113048744404</v>
      </c>
      <c r="W53" s="2">
        <v>0.46772200266564545</v>
      </c>
      <c r="X53" s="2">
        <v>0.24255229134427098</v>
      </c>
      <c r="Y53" s="2">
        <v>0.20009481314701696</v>
      </c>
      <c r="Z53" s="2">
        <v>1.1574860389632691</v>
      </c>
      <c r="AA53" s="2">
        <v>1.143957901277346</v>
      </c>
      <c r="AC53">
        <f t="shared" si="6"/>
        <v>0.64515793179258563</v>
      </c>
      <c r="AD53">
        <f t="shared" si="7"/>
        <v>0.51736055634955824</v>
      </c>
      <c r="AE53">
        <f t="shared" si="8"/>
        <v>1.092624270730725</v>
      </c>
      <c r="AF53">
        <f t="shared" si="9"/>
        <v>0.63538299458070036</v>
      </c>
      <c r="AG53">
        <f t="shared" si="10"/>
        <v>0.12779737544302749</v>
      </c>
      <c r="AH53">
        <f t="shared" si="11"/>
        <v>0.19696441283054975</v>
      </c>
      <c r="AI53" t="s">
        <v>90</v>
      </c>
      <c r="AL53" t="s">
        <v>54</v>
      </c>
      <c r="AM53">
        <v>0.32814877882780041</v>
      </c>
      <c r="AN53">
        <v>0.23381315183971396</v>
      </c>
    </row>
    <row r="54" spans="1:40" x14ac:dyDescent="0.2">
      <c r="A54" t="s">
        <v>91</v>
      </c>
      <c r="B54" s="1">
        <v>0.22696672232573828</v>
      </c>
      <c r="C54" s="1">
        <v>-1.6432103965337697</v>
      </c>
      <c r="D54" s="1">
        <v>1.0032080978782403</v>
      </c>
      <c r="E54" s="1">
        <v>-1.1998937705995096</v>
      </c>
      <c r="F54" s="1">
        <v>-0.26501364392377275</v>
      </c>
      <c r="G54" s="1">
        <v>0.19220953258653922</v>
      </c>
      <c r="H54" s="1">
        <v>-0.17892732429779612</v>
      </c>
      <c r="I54" s="1">
        <v>0.33988559794041373</v>
      </c>
      <c r="J54" s="1">
        <v>-1.3876588686011533</v>
      </c>
      <c r="K54" s="1">
        <v>-0.60951305200849626</v>
      </c>
      <c r="L54" s="1">
        <v>-1.0685876510380732</v>
      </c>
      <c r="M54" s="1">
        <v>1.9407776916890369</v>
      </c>
      <c r="N54" s="2">
        <v>-1.2488230352118013</v>
      </c>
      <c r="O54" s="2">
        <v>0.17780905169221195</v>
      </c>
      <c r="P54" s="2">
        <v>7.96382665770895E-3</v>
      </c>
      <c r="Q54" s="2">
        <v>-1.1667177994000211</v>
      </c>
      <c r="R54" s="2">
        <v>0.58846403155843896</v>
      </c>
      <c r="S54" s="2">
        <v>-0.82238448190775115</v>
      </c>
      <c r="T54" s="2">
        <v>-1.682649179175121</v>
      </c>
      <c r="U54" s="2">
        <v>-0.97803109180164116</v>
      </c>
      <c r="V54" s="2">
        <v>-0.48013248612853709</v>
      </c>
      <c r="W54" s="2">
        <v>8.8852149254859958E-2</v>
      </c>
      <c r="X54" s="2">
        <v>-0.19228443855235805</v>
      </c>
      <c r="Y54" s="2">
        <v>-1.2418012155025009</v>
      </c>
      <c r="Z54" s="2">
        <v>0.87958867564924692</v>
      </c>
      <c r="AA54" s="2">
        <v>0.50973173138203398</v>
      </c>
      <c r="AC54">
        <f t="shared" si="6"/>
        <v>-0.22081308871521685</v>
      </c>
      <c r="AD54">
        <f t="shared" si="7"/>
        <v>-0.39717244724894496</v>
      </c>
      <c r="AE54">
        <f t="shared" si="8"/>
        <v>1.1300286564952589</v>
      </c>
      <c r="AF54">
        <f t="shared" si="9"/>
        <v>0.63956291239405916</v>
      </c>
      <c r="AG54">
        <f t="shared" si="10"/>
        <v>0.17635935853372822</v>
      </c>
      <c r="AH54">
        <f t="shared" si="11"/>
        <v>0.1941167284930492</v>
      </c>
      <c r="AI54" t="s">
        <v>91</v>
      </c>
      <c r="AL54" t="s">
        <v>53</v>
      </c>
      <c r="AM54">
        <v>0.15885816850423187</v>
      </c>
      <c r="AN54">
        <v>0.22787906758845369</v>
      </c>
    </row>
    <row r="55" spans="1:40" x14ac:dyDescent="0.2">
      <c r="A55" t="s">
        <v>92</v>
      </c>
      <c r="B55" s="1">
        <v>-0.1486066532084408</v>
      </c>
      <c r="C55" s="1">
        <v>-0.60694725554325346</v>
      </c>
      <c r="D55" s="1">
        <v>0.65006490971140618</v>
      </c>
      <c r="E55" s="1">
        <v>-0.24969962688304181</v>
      </c>
      <c r="F55" s="1">
        <v>-0.54269980440280008</v>
      </c>
      <c r="G55" s="1">
        <v>-0.30484063573829784</v>
      </c>
      <c r="H55" s="1">
        <v>-0.86330479634456792</v>
      </c>
      <c r="I55" s="1">
        <v>-5.128278238612255E-2</v>
      </c>
      <c r="J55" s="1">
        <v>-0.35690220374167403</v>
      </c>
      <c r="K55" s="1">
        <v>0.42278207616354246</v>
      </c>
      <c r="L55" s="1">
        <v>0.93492320102502857</v>
      </c>
      <c r="M55" s="1">
        <v>0.72588753778508841</v>
      </c>
      <c r="N55" s="2">
        <v>-1.2291487550533722</v>
      </c>
      <c r="O55" s="2">
        <v>-0.29228813209359239</v>
      </c>
      <c r="P55" s="2">
        <v>3.5395871915220756E-2</v>
      </c>
      <c r="Q55" s="2">
        <v>-0.91783214311685235</v>
      </c>
      <c r="R55" s="2">
        <v>-0.62895065513306236</v>
      </c>
      <c r="S55" s="2">
        <v>-0.80055938463435239</v>
      </c>
      <c r="T55" s="2">
        <v>-1.0837018749323724</v>
      </c>
      <c r="U55" s="2">
        <v>-0.15413427970426219</v>
      </c>
      <c r="V55" s="2">
        <v>-0.95769160992798219</v>
      </c>
      <c r="W55" s="2">
        <v>-0.1317773634757422</v>
      </c>
      <c r="X55" s="2">
        <v>-1.2528137852918722</v>
      </c>
      <c r="Y55" s="2">
        <v>4.5049140169354684E-2</v>
      </c>
      <c r="Z55" s="2">
        <v>0.42044910302578875</v>
      </c>
      <c r="AA55" s="2">
        <v>-4.003018520996271E-3</v>
      </c>
      <c r="AC55">
        <f t="shared" si="6"/>
        <v>-3.2552169463594426E-2</v>
      </c>
      <c r="AD55">
        <f t="shared" si="7"/>
        <v>-0.496571920483864</v>
      </c>
      <c r="AE55">
        <f t="shared" si="8"/>
        <v>1.3793798059094504</v>
      </c>
      <c r="AF55">
        <f t="shared" si="9"/>
        <v>4.8398763647603593E-2</v>
      </c>
      <c r="AG55">
        <f t="shared" si="10"/>
        <v>0.4640197510202696</v>
      </c>
      <c r="AH55">
        <f t="shared" si="11"/>
        <v>1.3151657323200814</v>
      </c>
      <c r="AI55" t="s">
        <v>92</v>
      </c>
      <c r="AL55" t="s">
        <v>109</v>
      </c>
      <c r="AM55">
        <v>0.13719273919050071</v>
      </c>
      <c r="AN55">
        <v>0.22384320279993639</v>
      </c>
    </row>
    <row r="56" spans="1:40" x14ac:dyDescent="0.2">
      <c r="A56" t="s">
        <v>93</v>
      </c>
      <c r="B56" s="1">
        <v>0.26601470340332145</v>
      </c>
      <c r="C56" s="1">
        <v>-1.8653537334060566</v>
      </c>
      <c r="D56" s="1">
        <v>-1.4254291497007185</v>
      </c>
      <c r="E56" s="1">
        <v>-0.91781864500188659</v>
      </c>
      <c r="F56" s="1">
        <v>1.3753380814057836</v>
      </c>
      <c r="G56" s="1">
        <v>-1.0997527348586786</v>
      </c>
      <c r="H56" s="1">
        <v>-0.9572822886479545</v>
      </c>
      <c r="I56" s="1">
        <v>-5.0544942220275946E-2</v>
      </c>
      <c r="J56" s="1">
        <v>-0.18730136057392294</v>
      </c>
      <c r="K56" s="1">
        <v>-0.31600393163192042</v>
      </c>
      <c r="L56" s="1">
        <v>-4.0290568097358925E-2</v>
      </c>
      <c r="M56" s="1">
        <v>1.0444840273056111</v>
      </c>
      <c r="N56" s="2">
        <v>-0.94215458011809849</v>
      </c>
      <c r="O56" s="2">
        <v>-0.27214848999171848</v>
      </c>
      <c r="P56" s="2">
        <v>-0.32295807125582854</v>
      </c>
      <c r="Q56" s="2">
        <v>-1.6006323469717083</v>
      </c>
      <c r="R56" s="2">
        <v>-1.0949673588978888</v>
      </c>
      <c r="S56" s="2">
        <v>-0.67346980975969861</v>
      </c>
      <c r="T56" s="2">
        <v>-0.92324293489774856</v>
      </c>
      <c r="U56" s="2">
        <v>-1.2725512015830382</v>
      </c>
      <c r="V56" s="2">
        <v>-1.6434049928918184</v>
      </c>
      <c r="W56" s="2">
        <v>-0.69760923384900864</v>
      </c>
      <c r="X56" s="2">
        <v>-0.85847220905542854</v>
      </c>
      <c r="Y56" s="2">
        <v>-1.4116186533976585</v>
      </c>
      <c r="Z56" s="2">
        <v>0.26952403772487743</v>
      </c>
      <c r="AA56" s="2">
        <v>-0.58836486799456866</v>
      </c>
      <c r="AC56">
        <f t="shared" si="6"/>
        <v>-0.34782837850200482</v>
      </c>
      <c r="AD56">
        <f t="shared" si="7"/>
        <v>-0.85943362235280951</v>
      </c>
      <c r="AE56">
        <f t="shared" si="8"/>
        <v>1.425635575722304</v>
      </c>
      <c r="AF56">
        <f t="shared" si="9"/>
        <v>0.1210147060875516</v>
      </c>
      <c r="AG56">
        <f t="shared" si="10"/>
        <v>0.51160524385080475</v>
      </c>
      <c r="AH56">
        <f t="shared" si="11"/>
        <v>0.91716184964563263</v>
      </c>
      <c r="AI56" t="s">
        <v>93</v>
      </c>
      <c r="AL56" t="s">
        <v>73</v>
      </c>
      <c r="AM56">
        <v>0.19972356576588599</v>
      </c>
      <c r="AN56">
        <v>0.22158956947638928</v>
      </c>
    </row>
    <row r="57" spans="1:40" x14ac:dyDescent="0.2">
      <c r="A57" t="s">
        <v>94</v>
      </c>
      <c r="B57" s="1">
        <v>2.160705631832367</v>
      </c>
      <c r="C57" s="1">
        <v>0.33164214241072598</v>
      </c>
      <c r="D57" s="1">
        <v>1.991899306921497</v>
      </c>
      <c r="E57" s="1">
        <v>1.9653339120485469</v>
      </c>
      <c r="F57" s="1">
        <v>-0.14955338371951199</v>
      </c>
      <c r="G57" s="1">
        <v>1.9201241440860268</v>
      </c>
      <c r="H57" s="1">
        <v>0.51562950936812157</v>
      </c>
      <c r="I57" s="1">
        <v>1.4510397647872979</v>
      </c>
      <c r="J57" s="1">
        <v>1.2305214745666579</v>
      </c>
      <c r="K57" s="1">
        <v>2.865005641658068</v>
      </c>
      <c r="L57" s="1">
        <v>2.1154334919463178</v>
      </c>
      <c r="M57" s="1">
        <v>3.4739141264167372</v>
      </c>
      <c r="N57" s="2">
        <v>1.7106336287635491</v>
      </c>
      <c r="O57" s="2">
        <v>1.9815802926573509</v>
      </c>
      <c r="P57" s="2">
        <v>1.4674143134780799</v>
      </c>
      <c r="Q57" s="2">
        <v>2.4348140009353036E-2</v>
      </c>
      <c r="R57" s="2">
        <v>1.5151501924249839</v>
      </c>
      <c r="S57" s="2">
        <v>1.3206940389200008</v>
      </c>
      <c r="T57" s="2">
        <v>1.162906174660808</v>
      </c>
      <c r="U57" s="2">
        <v>0.66215613685199204</v>
      </c>
      <c r="V57" s="2">
        <v>-0.2468790112009569</v>
      </c>
      <c r="W57" s="2">
        <v>1.910344564369103</v>
      </c>
      <c r="X57" s="2">
        <v>0.34223909589236201</v>
      </c>
      <c r="Y57" s="2">
        <v>0.70732160828596302</v>
      </c>
      <c r="Z57" s="2">
        <v>3.0580036043998731</v>
      </c>
      <c r="AA57" s="2">
        <v>1.6092109105654901</v>
      </c>
      <c r="AC57">
        <f t="shared" si="6"/>
        <v>1.6559746468602377</v>
      </c>
      <c r="AD57">
        <f t="shared" si="7"/>
        <v>1.2303659778627107</v>
      </c>
      <c r="AE57">
        <f t="shared" si="8"/>
        <v>1.3431390498632627</v>
      </c>
      <c r="AF57">
        <f t="shared" si="9"/>
        <v>0.27718842389321918</v>
      </c>
      <c r="AG57">
        <f t="shared" si="10"/>
        <v>0.42560866899752697</v>
      </c>
      <c r="AH57">
        <f t="shared" si="11"/>
        <v>0.55722491094433912</v>
      </c>
      <c r="AI57" t="s">
        <v>94</v>
      </c>
      <c r="AL57" t="s">
        <v>60</v>
      </c>
      <c r="AM57">
        <v>-0.25153897368022837</v>
      </c>
      <c r="AN57">
        <v>0.21709949186215657</v>
      </c>
    </row>
    <row r="58" spans="1:40" x14ac:dyDescent="0.2">
      <c r="A58" t="s">
        <v>95</v>
      </c>
      <c r="B58" s="1">
        <v>-0.3510843327244072</v>
      </c>
      <c r="C58" s="1">
        <v>-1.6729899770034711</v>
      </c>
      <c r="D58" s="1">
        <v>-0.27015109938330689</v>
      </c>
      <c r="E58" s="1">
        <v>1.6104133854306688</v>
      </c>
      <c r="F58" s="1">
        <v>-0.63856845858134315</v>
      </c>
      <c r="G58" s="1">
        <v>-0.40887271174530621</v>
      </c>
      <c r="H58" s="1">
        <v>-0.70276450572524907</v>
      </c>
      <c r="I58" s="1">
        <v>-0.81951485710213745</v>
      </c>
      <c r="J58" s="1">
        <v>-0.65372128184510747</v>
      </c>
      <c r="K58" s="1">
        <v>-1.0261703968129654</v>
      </c>
      <c r="L58" s="1">
        <v>-3.5083486512975437E-2</v>
      </c>
      <c r="M58" s="1">
        <v>1.7333709106768946</v>
      </c>
      <c r="N58" s="2">
        <v>-0.46547789317036647</v>
      </c>
      <c r="O58" s="2">
        <v>-0.39547357267211347</v>
      </c>
      <c r="P58" s="2">
        <v>-1.3295980134619674</v>
      </c>
      <c r="Q58" s="2">
        <v>-1.6375783249056275</v>
      </c>
      <c r="R58" s="2">
        <v>-0.55098757108864738</v>
      </c>
      <c r="S58" s="2">
        <v>-0.94685797559377738</v>
      </c>
      <c r="T58" s="2">
        <v>-0.19717297551747648</v>
      </c>
      <c r="U58" s="2">
        <v>-1.6215900126130174</v>
      </c>
      <c r="V58" s="2">
        <v>-1.7641238229843477</v>
      </c>
      <c r="W58" s="2">
        <v>-0.94018816302741737</v>
      </c>
      <c r="X58" s="2">
        <v>-1.2977590367432974</v>
      </c>
      <c r="Y58" s="2">
        <v>-1.1249561818055174</v>
      </c>
      <c r="Z58" s="2">
        <v>0.61528395797174751</v>
      </c>
      <c r="AA58" s="2">
        <v>0.77989084379261953</v>
      </c>
      <c r="AC58">
        <f t="shared" si="6"/>
        <v>-0.26959473427739217</v>
      </c>
      <c r="AD58">
        <f t="shared" si="7"/>
        <v>-0.77689919584422895</v>
      </c>
      <c r="AE58">
        <f t="shared" si="8"/>
        <v>1.4213919773707988</v>
      </c>
      <c r="AF58">
        <f t="shared" si="9"/>
        <v>0.17060928862394772</v>
      </c>
      <c r="AG58">
        <f t="shared" si="10"/>
        <v>0.50730446156683673</v>
      </c>
      <c r="AH58">
        <f t="shared" si="11"/>
        <v>0.76799732786773478</v>
      </c>
      <c r="AI58" t="s">
        <v>95</v>
      </c>
      <c r="AL58" t="s">
        <v>49</v>
      </c>
      <c r="AM58">
        <v>-0.20153688381290341</v>
      </c>
      <c r="AN58">
        <v>0.21519398122095185</v>
      </c>
    </row>
    <row r="59" spans="1:40" x14ac:dyDescent="0.2">
      <c r="A59" t="s">
        <v>96</v>
      </c>
      <c r="B59" s="1">
        <v>1.6245038295108423</v>
      </c>
      <c r="C59" s="1">
        <v>1.7477067224376823</v>
      </c>
      <c r="D59" s="1">
        <v>2.7212251712775419</v>
      </c>
      <c r="E59" s="1">
        <v>-3.0079804979179503E-3</v>
      </c>
      <c r="F59" s="1">
        <v>0.48856748409710216</v>
      </c>
      <c r="G59" s="1">
        <v>1.0542983075714421</v>
      </c>
      <c r="H59" s="1">
        <v>2.111798313594587</v>
      </c>
      <c r="I59" s="1">
        <v>-9.3386968574014073E-2</v>
      </c>
      <c r="J59" s="1" t="s">
        <v>67</v>
      </c>
      <c r="K59" s="1">
        <v>-0.80601057610753402</v>
      </c>
      <c r="L59" s="1">
        <v>1.7747250042050819</v>
      </c>
      <c r="M59" s="1">
        <v>-0.56420870919547417</v>
      </c>
      <c r="N59" s="2">
        <v>2.7072876848484797</v>
      </c>
      <c r="O59" s="2">
        <v>1.5365413753874797</v>
      </c>
      <c r="P59" s="2">
        <v>1.1939598162757596</v>
      </c>
      <c r="Q59" s="2">
        <v>0.82431576160072262</v>
      </c>
      <c r="R59" s="2">
        <v>-0.16504050722404734</v>
      </c>
      <c r="S59" s="2">
        <v>0.77144706159405463</v>
      </c>
      <c r="T59" s="2">
        <v>-5.7821112956663367E-2</v>
      </c>
      <c r="U59" s="2">
        <v>1.3128337151540996</v>
      </c>
      <c r="V59" s="2">
        <v>1.8542326425314997</v>
      </c>
      <c r="W59" s="2">
        <v>0.83053808782327465</v>
      </c>
      <c r="X59" s="2">
        <v>0.82432231382324461</v>
      </c>
      <c r="Y59" s="2">
        <v>0.95271735056236662</v>
      </c>
      <c r="Z59" s="2">
        <v>1.4385758209441597</v>
      </c>
      <c r="AA59" s="2">
        <v>1.0896712153081396</v>
      </c>
      <c r="AC59">
        <f t="shared" si="6"/>
        <v>0.91420096348357627</v>
      </c>
      <c r="AD59">
        <f t="shared" si="7"/>
        <v>1.0795415161194692</v>
      </c>
      <c r="AE59">
        <f t="shared" si="8"/>
        <v>0.89171800177628779</v>
      </c>
      <c r="AF59">
        <f t="shared" si="9"/>
        <v>0.68784529203724765</v>
      </c>
      <c r="AG59">
        <f t="shared" si="10"/>
        <v>-0.16534055263589278</v>
      </c>
      <c r="AH59">
        <f t="shared" si="11"/>
        <v>0.16250923090679978</v>
      </c>
      <c r="AI59" t="s">
        <v>96</v>
      </c>
      <c r="AL59" t="s">
        <v>75</v>
      </c>
      <c r="AM59">
        <v>0.18527022293980652</v>
      </c>
      <c r="AN59">
        <v>0.20781399986845578</v>
      </c>
    </row>
    <row r="60" spans="1:40" x14ac:dyDescent="0.2">
      <c r="A60" t="s">
        <v>97</v>
      </c>
      <c r="B60" s="1">
        <v>0.95250890215476214</v>
      </c>
      <c r="C60" s="1" t="s">
        <v>67</v>
      </c>
      <c r="D60" s="1">
        <v>1.8709440631853922</v>
      </c>
      <c r="E60" s="1">
        <v>2.167374893164252</v>
      </c>
      <c r="F60" s="1">
        <v>-5.380234125298422E-4</v>
      </c>
      <c r="G60" s="1">
        <v>1.9953483750674321</v>
      </c>
      <c r="H60" s="1">
        <v>1.4012775524594836</v>
      </c>
      <c r="I60" s="1">
        <v>1.3919107403340401</v>
      </c>
      <c r="J60" s="1">
        <v>2.9320427018861501</v>
      </c>
      <c r="K60" s="1">
        <v>1.8804695895119701</v>
      </c>
      <c r="L60" s="1">
        <v>5.51108052707208</v>
      </c>
      <c r="M60" s="1">
        <v>3.2565386027060503</v>
      </c>
      <c r="N60" s="2">
        <v>3.2617402868907019</v>
      </c>
      <c r="O60" s="2">
        <v>2.9194015351029119</v>
      </c>
      <c r="P60" s="2">
        <v>4.4029274229623523</v>
      </c>
      <c r="Q60" s="2">
        <v>1.3748318427847899</v>
      </c>
      <c r="R60" s="2">
        <v>1.5445081380297569</v>
      </c>
      <c r="S60" s="2">
        <v>2.4610408267174519</v>
      </c>
      <c r="T60" s="2">
        <v>2.0117779368471291</v>
      </c>
      <c r="U60" s="2">
        <v>3.8176939669073118</v>
      </c>
      <c r="V60" s="2">
        <v>1.6517843977177049</v>
      </c>
      <c r="W60" s="2">
        <v>2.7304080679497518</v>
      </c>
      <c r="X60" s="2">
        <v>0.83772594549766688</v>
      </c>
      <c r="Y60" s="2">
        <v>1.347839686783475</v>
      </c>
      <c r="Z60" s="2">
        <v>3.0522176594705019</v>
      </c>
      <c r="AA60" s="2">
        <v>3.1802452973450217</v>
      </c>
      <c r="AC60">
        <f t="shared" si="6"/>
        <v>2.1235416294662808</v>
      </c>
      <c r="AD60">
        <f t="shared" si="7"/>
        <v>2.4710102150718951</v>
      </c>
      <c r="AE60">
        <f t="shared" si="8"/>
        <v>0.78596197118029465</v>
      </c>
      <c r="AF60">
        <f t="shared" si="9"/>
        <v>0.5076609674398056</v>
      </c>
      <c r="AG60">
        <f t="shared" si="10"/>
        <v>-0.34746858560561439</v>
      </c>
      <c r="AH60">
        <f t="shared" si="11"/>
        <v>0.29442622693845305</v>
      </c>
      <c r="AI60" t="s">
        <v>97</v>
      </c>
      <c r="AL60" t="s">
        <v>118</v>
      </c>
      <c r="AM60">
        <v>-0.19626882534133647</v>
      </c>
      <c r="AN60">
        <v>0.20291761628515997</v>
      </c>
    </row>
    <row r="61" spans="1:40" x14ac:dyDescent="0.2">
      <c r="A61" t="s">
        <v>98</v>
      </c>
      <c r="B61" s="1">
        <v>0.6744003850390522</v>
      </c>
      <c r="C61" s="1">
        <v>0.44562077672034539</v>
      </c>
      <c r="D61" s="1">
        <v>0.41417903598247996</v>
      </c>
      <c r="E61" s="1">
        <v>0.6664548522654532</v>
      </c>
      <c r="F61" s="1">
        <v>0.47456366266166217</v>
      </c>
      <c r="G61" s="1">
        <v>1.1193800452733682</v>
      </c>
      <c r="H61" s="1">
        <v>0.5986445005405816</v>
      </c>
      <c r="I61" s="1">
        <v>0.17431812897352905</v>
      </c>
      <c r="J61" s="1">
        <v>-0.55749505987598935</v>
      </c>
      <c r="K61" s="1">
        <v>-0.55086301648217328</v>
      </c>
      <c r="L61" s="1">
        <v>-0.64545798405648425</v>
      </c>
      <c r="M61" s="1">
        <v>0.5140089095603757</v>
      </c>
      <c r="N61" s="2">
        <v>-0.63420181407700815</v>
      </c>
      <c r="O61" s="2">
        <v>-0.13862710719574411</v>
      </c>
      <c r="P61" s="2">
        <v>0.41622514770614688</v>
      </c>
      <c r="Q61" s="2">
        <v>-0.44343884556698371</v>
      </c>
      <c r="R61" s="2">
        <v>-0.23426608469687113</v>
      </c>
      <c r="S61" s="2">
        <v>0.32826336273112383</v>
      </c>
      <c r="T61" s="2">
        <v>-1.4168839184036031</v>
      </c>
      <c r="U61" s="2">
        <v>-0.37714437135412027</v>
      </c>
      <c r="V61" s="2">
        <v>-7.1309619427501136E-2</v>
      </c>
      <c r="W61" s="2">
        <v>0.12393331183443485</v>
      </c>
      <c r="X61" s="2">
        <v>0.14283438707693591</v>
      </c>
      <c r="Y61" s="2">
        <v>0.3623758035478199</v>
      </c>
      <c r="Z61" s="2">
        <v>-0.24719869694873015</v>
      </c>
      <c r="AA61" s="2">
        <v>0.91591323939393288</v>
      </c>
      <c r="AC61">
        <f t="shared" si="6"/>
        <v>0.27731285305018344</v>
      </c>
      <c r="AD61">
        <f t="shared" si="7"/>
        <v>-9.0966086098583379E-2</v>
      </c>
      <c r="AE61">
        <f t="shared" si="8"/>
        <v>1.2908120395218832</v>
      </c>
      <c r="AF61">
        <f t="shared" si="9"/>
        <v>0.10916442220859682</v>
      </c>
      <c r="AG61">
        <f t="shared" si="10"/>
        <v>0.36827893914876664</v>
      </c>
      <c r="AH61">
        <f t="shared" si="11"/>
        <v>0.96191887954399946</v>
      </c>
      <c r="AI61" t="s">
        <v>98</v>
      </c>
      <c r="AL61" t="s">
        <v>108</v>
      </c>
      <c r="AM61">
        <v>9.7142308625326815E-2</v>
      </c>
      <c r="AN61">
        <v>0.19716810176201183</v>
      </c>
    </row>
    <row r="62" spans="1:40" x14ac:dyDescent="0.2">
      <c r="A62" t="s">
        <v>99</v>
      </c>
      <c r="B62" s="1">
        <v>0.90779928743964589</v>
      </c>
      <c r="C62" s="1">
        <v>3.0438176645185759</v>
      </c>
      <c r="D62" s="1">
        <v>2.5461141015517459</v>
      </c>
      <c r="E62" s="1">
        <v>2.2612639645878256</v>
      </c>
      <c r="F62" s="1">
        <v>-0.10524454548752145</v>
      </c>
      <c r="G62" s="1">
        <v>1.8367818520046857</v>
      </c>
      <c r="H62" s="1">
        <v>0.37250490068388808</v>
      </c>
      <c r="I62" s="1">
        <v>2.5563996829748059</v>
      </c>
      <c r="J62" s="1">
        <v>2.031324048316276</v>
      </c>
      <c r="K62" s="1">
        <v>1.6756957818177161</v>
      </c>
      <c r="L62" s="1">
        <v>1.9593670856186263</v>
      </c>
      <c r="M62" s="1">
        <v>2.3668890578919561</v>
      </c>
      <c r="N62" s="2">
        <v>3.6062444878716833</v>
      </c>
      <c r="O62" s="2">
        <v>2.7364528913525437</v>
      </c>
      <c r="P62" s="2">
        <v>2.8940615664808034</v>
      </c>
      <c r="Q62" s="2">
        <v>2.8532644309889235</v>
      </c>
      <c r="R62" s="2">
        <v>0.49159352188023447</v>
      </c>
      <c r="S62" s="2">
        <v>2.8420607763025236</v>
      </c>
      <c r="T62" s="2">
        <v>1.4908518924262635</v>
      </c>
      <c r="U62" s="2">
        <v>2.4683404957779134</v>
      </c>
      <c r="V62" s="2">
        <v>2.3190099642815536</v>
      </c>
      <c r="W62" s="2">
        <v>0.72655142895257852</v>
      </c>
      <c r="X62" s="2">
        <v>2.5695805526067637</v>
      </c>
      <c r="Y62" s="2">
        <v>2.6541767157216234</v>
      </c>
      <c r="Z62" s="2">
        <v>1.8138875261162535</v>
      </c>
      <c r="AA62" s="2">
        <v>0.44285163564147745</v>
      </c>
      <c r="AC62">
        <f t="shared" si="6"/>
        <v>1.7877260734931857</v>
      </c>
      <c r="AD62">
        <f t="shared" si="7"/>
        <v>2.1363519918857956</v>
      </c>
      <c r="AE62">
        <f t="shared" si="8"/>
        <v>0.78533172377453375</v>
      </c>
      <c r="AF62">
        <f t="shared" si="9"/>
        <v>0.36792046785163335</v>
      </c>
      <c r="AG62">
        <f t="shared" si="10"/>
        <v>-0.34862591839260992</v>
      </c>
      <c r="AH62">
        <f t="shared" si="11"/>
        <v>0.43424605118012249</v>
      </c>
      <c r="AI62" t="s">
        <v>99</v>
      </c>
      <c r="AL62" t="s">
        <v>90</v>
      </c>
      <c r="AM62">
        <v>0.12779737544302749</v>
      </c>
      <c r="AN62">
        <v>0.19696441283054975</v>
      </c>
    </row>
    <row r="63" spans="1:40" x14ac:dyDescent="0.2">
      <c r="A63" t="s">
        <v>100</v>
      </c>
      <c r="B63" s="1">
        <v>1.5372227180648397</v>
      </c>
      <c r="C63" s="1">
        <v>2.4005025109896394</v>
      </c>
      <c r="D63" s="1">
        <v>2.8278563668897494</v>
      </c>
      <c r="E63" s="1">
        <v>2.1253621806130596</v>
      </c>
      <c r="F63" s="1">
        <v>-0.22960893057571929</v>
      </c>
      <c r="G63" s="1">
        <v>1.5093879222676498</v>
      </c>
      <c r="H63" s="1">
        <v>1.0329167304134739</v>
      </c>
      <c r="I63" s="1">
        <v>1.8939666357416061</v>
      </c>
      <c r="J63" s="1">
        <v>1.6452729464612661</v>
      </c>
      <c r="K63" s="1">
        <v>2.4365964904302864</v>
      </c>
      <c r="L63" s="1">
        <v>2.793520317961546</v>
      </c>
      <c r="M63" s="1">
        <v>3.394343997029666</v>
      </c>
      <c r="N63" s="2">
        <v>1.9361940387372907</v>
      </c>
      <c r="O63" s="2">
        <v>1.9803575938257105</v>
      </c>
      <c r="P63" s="2">
        <v>2.9933809911136908</v>
      </c>
      <c r="Q63" s="2">
        <v>1.8489408230250004</v>
      </c>
      <c r="R63" s="2">
        <v>0.65623457446842648</v>
      </c>
      <c r="S63" s="2">
        <v>2.2766836471177005</v>
      </c>
      <c r="T63" s="2">
        <v>1.0827464944148946</v>
      </c>
      <c r="U63" s="2">
        <v>3.2781226141178506</v>
      </c>
      <c r="V63" s="2">
        <v>2.0646723336021906</v>
      </c>
      <c r="W63" s="2">
        <v>1.1363467309226114</v>
      </c>
      <c r="X63" s="2">
        <v>0.67692192029265152</v>
      </c>
      <c r="Y63" s="2">
        <v>1.4393046615524074</v>
      </c>
      <c r="Z63" s="2">
        <v>2.2241411587259603</v>
      </c>
      <c r="AA63" s="2">
        <v>1.6868102699236056</v>
      </c>
      <c r="AC63">
        <f t="shared" si="6"/>
        <v>1.9472783238572553</v>
      </c>
      <c r="AD63">
        <f t="shared" si="7"/>
        <v>1.8057755608457133</v>
      </c>
      <c r="AE63">
        <f t="shared" si="8"/>
        <v>1.103053497846872</v>
      </c>
      <c r="AF63">
        <f t="shared" si="9"/>
        <v>0.68620569686686239</v>
      </c>
      <c r="AG63">
        <f t="shared" si="10"/>
        <v>0.14150276301154194</v>
      </c>
      <c r="AH63">
        <f t="shared" si="11"/>
        <v>0.16354568076021209</v>
      </c>
      <c r="AI63" t="s">
        <v>100</v>
      </c>
      <c r="AL63" t="s">
        <v>91</v>
      </c>
      <c r="AM63">
        <v>0.17635935853372822</v>
      </c>
      <c r="AN63">
        <v>0.1941167284930492</v>
      </c>
    </row>
    <row r="64" spans="1:40" x14ac:dyDescent="0.2">
      <c r="A64" t="s">
        <v>101</v>
      </c>
      <c r="B64" s="1">
        <v>-9.2152096256251287E-2</v>
      </c>
      <c r="C64" s="1">
        <v>-0.76774365020377822</v>
      </c>
      <c r="D64" s="1">
        <v>-0.30708459530993626</v>
      </c>
      <c r="E64" s="1">
        <v>3.9138171942775399E-2</v>
      </c>
      <c r="F64" s="1">
        <v>-0.10366946685710429</v>
      </c>
      <c r="G64" s="1">
        <v>0.78159101170800982</v>
      </c>
      <c r="H64" s="1">
        <v>0.45664561128917203</v>
      </c>
      <c r="I64" s="1">
        <v>-0.98162996032780403</v>
      </c>
      <c r="J64" s="1">
        <v>-1.5340439708421039</v>
      </c>
      <c r="K64" s="1">
        <v>-0.545322280862099</v>
      </c>
      <c r="L64" s="1">
        <v>-1.1087440094722341</v>
      </c>
      <c r="M64" s="1">
        <v>-0.23351211771709784</v>
      </c>
      <c r="N64" s="2">
        <v>-1.2325121314411689</v>
      </c>
      <c r="O64" s="2">
        <v>-0.76376956873995983</v>
      </c>
      <c r="P64" s="2">
        <v>-6.7060342017137564E-3</v>
      </c>
      <c r="Q64" s="2">
        <v>-1.2698537084407988</v>
      </c>
      <c r="R64" s="2">
        <v>-0.57665370022146278</v>
      </c>
      <c r="S64" s="2">
        <v>-0.46069286667416776</v>
      </c>
      <c r="T64" s="2">
        <v>-2.3360164639496386</v>
      </c>
      <c r="U64" s="2">
        <v>-1.1198161336840557</v>
      </c>
      <c r="V64" s="2">
        <v>-0.98211600261871879</v>
      </c>
      <c r="W64" s="2">
        <v>0.12097323928704926</v>
      </c>
      <c r="X64" s="2">
        <v>0.21280885188139823</v>
      </c>
      <c r="Y64" s="2">
        <v>-0.35141084421452873</v>
      </c>
      <c r="Z64" s="2">
        <v>-1.1144483396295597</v>
      </c>
      <c r="AA64" s="2">
        <v>-0.12761188752312125</v>
      </c>
      <c r="AC64">
        <f t="shared" si="6"/>
        <v>-0.36637727940903764</v>
      </c>
      <c r="AD64">
        <f t="shared" si="7"/>
        <v>-0.71484468501217469</v>
      </c>
      <c r="AE64">
        <f t="shared" si="8"/>
        <v>1.2732073632998211</v>
      </c>
      <c r="AF64">
        <f t="shared" si="9"/>
        <v>0.20239577465264952</v>
      </c>
      <c r="AG64">
        <f t="shared" si="10"/>
        <v>0.34846740560313716</v>
      </c>
      <c r="AH64">
        <f t="shared" si="11"/>
        <v>0.69379855835493165</v>
      </c>
      <c r="AI64" t="s">
        <v>101</v>
      </c>
      <c r="AL64" t="s">
        <v>126</v>
      </c>
      <c r="AM64">
        <v>-0.17678954824174414</v>
      </c>
      <c r="AN64">
        <v>0.17651937344596152</v>
      </c>
    </row>
    <row r="65" spans="1:40" x14ac:dyDescent="0.2">
      <c r="A65" t="s">
        <v>102</v>
      </c>
      <c r="B65" s="1">
        <v>6.5785379544457401E-3</v>
      </c>
      <c r="C65" s="1">
        <v>2.0026439776369784</v>
      </c>
      <c r="D65" s="1">
        <v>2.1941256772171487</v>
      </c>
      <c r="E65" s="1">
        <v>0.49864269591524879</v>
      </c>
      <c r="F65" s="1">
        <v>7.1087398051083772E-2</v>
      </c>
      <c r="G65" s="1">
        <v>-0.32593465766273721</v>
      </c>
      <c r="H65" s="1">
        <v>0.54772030298553087</v>
      </c>
      <c r="I65" s="1">
        <v>0.90387413681853068</v>
      </c>
      <c r="J65" s="1">
        <v>0.80775935715959069</v>
      </c>
      <c r="K65" s="1">
        <v>0.99177108109035061</v>
      </c>
      <c r="L65" s="1">
        <v>0.67178810474281869</v>
      </c>
      <c r="M65" s="1">
        <v>1.4320765802711206</v>
      </c>
      <c r="N65" s="2">
        <v>1.2742728857304417</v>
      </c>
      <c r="O65" s="2">
        <v>0.88819923753584362</v>
      </c>
      <c r="P65" s="2">
        <v>2.4576825305506453</v>
      </c>
      <c r="Q65" s="2">
        <v>1.6842876085313956</v>
      </c>
      <c r="R65" s="2">
        <v>-0.50797365178054443</v>
      </c>
      <c r="S65" s="2">
        <v>2.2443533438144856</v>
      </c>
      <c r="T65" s="2">
        <v>-0.15817302372219832</v>
      </c>
      <c r="U65" s="2">
        <v>2.7244865148428552</v>
      </c>
      <c r="V65" s="2">
        <v>1.5933756499258256</v>
      </c>
      <c r="W65" s="2">
        <v>0.51853179488221424</v>
      </c>
      <c r="X65" s="2">
        <v>0.91731713807511661</v>
      </c>
      <c r="Y65" s="2">
        <v>0.7195863738410897</v>
      </c>
      <c r="Z65" s="2">
        <v>-4.9233962457403413E-2</v>
      </c>
      <c r="AA65" s="2">
        <v>1.8240624316991456</v>
      </c>
      <c r="AC65">
        <f t="shared" si="6"/>
        <v>0.81684443268167595</v>
      </c>
      <c r="AD65">
        <f t="shared" si="7"/>
        <v>1.1521982051049222</v>
      </c>
      <c r="AE65">
        <f t="shared" si="8"/>
        <v>0.79258975680536425</v>
      </c>
      <c r="AF65">
        <f t="shared" si="9"/>
        <v>0.34247271320964989</v>
      </c>
      <c r="AG65">
        <f t="shared" si="10"/>
        <v>-0.33535377242324632</v>
      </c>
      <c r="AH65">
        <f t="shared" si="11"/>
        <v>0.46537402555714552</v>
      </c>
      <c r="AI65" t="s">
        <v>102</v>
      </c>
      <c r="AL65" t="s">
        <v>100</v>
      </c>
      <c r="AM65">
        <v>0.14150276301154194</v>
      </c>
      <c r="AN65">
        <v>0.16354568076021209</v>
      </c>
    </row>
    <row r="66" spans="1:40" x14ac:dyDescent="0.2">
      <c r="A66" t="s">
        <v>103</v>
      </c>
      <c r="B66" s="1">
        <v>-0.48136073273604818</v>
      </c>
      <c r="C66" s="1">
        <v>-2.3772859891723614</v>
      </c>
      <c r="D66" s="1">
        <v>-0.93199928974363222</v>
      </c>
      <c r="E66" s="1">
        <v>-1.7670263892018201</v>
      </c>
      <c r="F66" s="1">
        <v>-2.3658797479029912</v>
      </c>
      <c r="G66" s="1">
        <v>-1.8629324309238111</v>
      </c>
      <c r="H66" s="1">
        <v>-2.0983122008884485</v>
      </c>
      <c r="I66" s="1">
        <v>-1.4550878912686227</v>
      </c>
      <c r="J66" s="1">
        <v>-0.35422700805806762</v>
      </c>
      <c r="K66" s="1">
        <v>-1.5220749462312426</v>
      </c>
      <c r="L66" s="1">
        <v>-1.5639794129607427</v>
      </c>
      <c r="M66" s="1">
        <v>-1.0608632904911957</v>
      </c>
      <c r="N66" s="2">
        <v>-2.8976065292176445</v>
      </c>
      <c r="O66" s="2">
        <v>-1.9297087022906247</v>
      </c>
      <c r="P66" s="2">
        <v>-0.29644045706050459</v>
      </c>
      <c r="Q66" s="2">
        <v>-2.7384677585362649</v>
      </c>
      <c r="R66" s="2">
        <v>-1.9823708743591146</v>
      </c>
      <c r="S66" s="2">
        <v>-0.80070964396602462</v>
      </c>
      <c r="T66" s="2">
        <v>-2.4507637367067847</v>
      </c>
      <c r="U66" s="2">
        <v>-0.7104676856233747</v>
      </c>
      <c r="V66" s="2">
        <v>-1.3513657697231947</v>
      </c>
      <c r="W66" s="2">
        <v>-1.8339845069762848</v>
      </c>
      <c r="X66" s="2">
        <v>-1.7866725870277949</v>
      </c>
      <c r="Y66" s="2">
        <v>-2.9644931751476449</v>
      </c>
      <c r="Z66" s="2">
        <v>-1.4172396557843345</v>
      </c>
      <c r="AA66" s="2">
        <v>-0.8333317020567248</v>
      </c>
      <c r="AC66">
        <f t="shared" si="6"/>
        <v>-1.486752444131582</v>
      </c>
      <c r="AD66">
        <f t="shared" si="7"/>
        <v>-1.7138301988911657</v>
      </c>
      <c r="AE66">
        <f t="shared" si="8"/>
        <v>1.1704617223855269</v>
      </c>
      <c r="AF66">
        <f t="shared" si="9"/>
        <v>0.45633604743108602</v>
      </c>
      <c r="AG66">
        <f t="shared" si="10"/>
        <v>0.22707775475958372</v>
      </c>
      <c r="AH66">
        <f t="shared" si="11"/>
        <v>0.34071522357433842</v>
      </c>
      <c r="AI66" t="s">
        <v>103</v>
      </c>
      <c r="AL66" t="s">
        <v>79</v>
      </c>
      <c r="AM66">
        <v>0.13125656038555175</v>
      </c>
      <c r="AN66">
        <v>0.16259243853967126</v>
      </c>
    </row>
    <row r="67" spans="1:40" x14ac:dyDescent="0.2">
      <c r="A67" t="s">
        <v>104</v>
      </c>
      <c r="B67" s="1">
        <v>0.47830506817908702</v>
      </c>
      <c r="C67" s="1">
        <v>-1.7040975996848018</v>
      </c>
      <c r="D67" s="1">
        <v>1.2473519308546379</v>
      </c>
      <c r="E67" s="1">
        <v>-0.259760511330273</v>
      </c>
      <c r="F67" s="1">
        <v>0.58386046648790302</v>
      </c>
      <c r="G67" s="1">
        <v>-0.10503352845781599</v>
      </c>
      <c r="H67" s="1">
        <v>-1.1397561075104949</v>
      </c>
      <c r="I67" s="1">
        <v>-0.54780019897537036</v>
      </c>
      <c r="J67" s="1">
        <v>-1.5079987621911255</v>
      </c>
      <c r="K67" s="1">
        <v>2.4600336281601465E-2</v>
      </c>
      <c r="L67" s="1">
        <v>-0.87475657724806155</v>
      </c>
      <c r="M67" s="1">
        <v>2.2840376037821644</v>
      </c>
      <c r="N67" s="2">
        <v>-0.41976584434885267</v>
      </c>
      <c r="O67" s="2">
        <v>0.29583019990990522</v>
      </c>
      <c r="P67" s="2">
        <v>-0.73835097510871284</v>
      </c>
      <c r="Q67" s="2">
        <v>-1.3980923265592327</v>
      </c>
      <c r="R67" s="2">
        <v>-1.2290306576272529</v>
      </c>
      <c r="S67" s="2">
        <v>-0.11181833896013571</v>
      </c>
      <c r="T67" s="2">
        <v>-1.0815854599875125</v>
      </c>
      <c r="U67" s="2">
        <v>-0.46408961821376271</v>
      </c>
      <c r="V67" s="2">
        <v>-1.6684248666437629</v>
      </c>
      <c r="W67" s="2">
        <v>-6.1120299560568636E-4</v>
      </c>
      <c r="X67" s="2">
        <v>0.77472402837585697</v>
      </c>
      <c r="Y67" s="2">
        <v>-1.1130094852755326</v>
      </c>
      <c r="Z67" s="2">
        <v>-0.26220268263255264</v>
      </c>
      <c r="AA67" s="2">
        <v>0.9584783475698182</v>
      </c>
      <c r="AC67">
        <f t="shared" si="6"/>
        <v>-0.12675398998437906</v>
      </c>
      <c r="AD67">
        <f t="shared" si="7"/>
        <v>-0.46128206303552383</v>
      </c>
      <c r="AE67">
        <f t="shared" si="8"/>
        <v>1.2609648610484399</v>
      </c>
      <c r="AF67">
        <f t="shared" si="9"/>
        <v>0.40972592496417126</v>
      </c>
      <c r="AG67">
        <f t="shared" si="10"/>
        <v>0.33452807305114468</v>
      </c>
      <c r="AH67">
        <f t="shared" si="11"/>
        <v>0.3875065556644488</v>
      </c>
      <c r="AI67" t="s">
        <v>104</v>
      </c>
      <c r="AL67" t="s">
        <v>96</v>
      </c>
      <c r="AM67">
        <v>-0.16534055263589278</v>
      </c>
      <c r="AN67">
        <v>0.16250923090679978</v>
      </c>
    </row>
    <row r="68" spans="1:40" x14ac:dyDescent="0.2">
      <c r="A68" t="s">
        <v>105</v>
      </c>
      <c r="B68" s="1">
        <v>4.4789853177614791</v>
      </c>
      <c r="C68" s="1">
        <v>-1.080382075093403</v>
      </c>
      <c r="D68" s="1">
        <v>2.1659026202198191</v>
      </c>
      <c r="E68" s="1">
        <v>2.5039038106479494</v>
      </c>
      <c r="F68" s="1">
        <v>2.4971704143527087</v>
      </c>
      <c r="G68" s="1">
        <v>2.7298064914835991</v>
      </c>
      <c r="H68" s="1">
        <v>3.3389983779158214</v>
      </c>
      <c r="I68" s="1">
        <v>3.9841646733048584</v>
      </c>
      <c r="J68" s="1">
        <v>1.2427723139560385</v>
      </c>
      <c r="K68" s="1">
        <v>6.5250617433548985</v>
      </c>
      <c r="L68" s="1">
        <v>4.3807274024582288</v>
      </c>
      <c r="M68" s="1">
        <v>4.0856760301097879</v>
      </c>
      <c r="N68" s="2">
        <v>2.7327146462261274</v>
      </c>
      <c r="O68" s="2">
        <v>2.0527756417317926</v>
      </c>
      <c r="P68" s="2">
        <v>4.6022571110686927</v>
      </c>
      <c r="Q68" s="2">
        <v>0.4711679235805426</v>
      </c>
      <c r="R68" s="2">
        <v>3.5637099901158025</v>
      </c>
      <c r="S68" s="2">
        <v>2.9785308455397388</v>
      </c>
      <c r="T68" s="2">
        <v>1.2566028368296045</v>
      </c>
      <c r="U68" s="2">
        <v>2.1406197121704316</v>
      </c>
      <c r="V68" s="2">
        <v>1.8742001844609186</v>
      </c>
      <c r="W68" s="2">
        <v>2.7139917151376123</v>
      </c>
      <c r="X68" s="2">
        <v>2.2561845788199579</v>
      </c>
      <c r="Y68" s="2">
        <v>1.0687829704204925</v>
      </c>
      <c r="Z68" s="2">
        <v>3.0259857820718046</v>
      </c>
      <c r="AA68" s="2">
        <v>2.3367505801781174</v>
      </c>
      <c r="AC68">
        <f t="shared" si="6"/>
        <v>3.0710655933726483</v>
      </c>
      <c r="AD68">
        <f t="shared" si="7"/>
        <v>2.3624481798822594</v>
      </c>
      <c r="AE68">
        <f t="shared" si="8"/>
        <v>1.6342372181653775</v>
      </c>
      <c r="AF68">
        <f t="shared" si="9"/>
        <v>0.26673074735136043</v>
      </c>
      <c r="AG68">
        <f t="shared" si="10"/>
        <v>0.70861741349038887</v>
      </c>
      <c r="AH68">
        <f t="shared" si="11"/>
        <v>0.57392691818585151</v>
      </c>
      <c r="AI68" t="s">
        <v>105</v>
      </c>
      <c r="AL68" t="s">
        <v>82</v>
      </c>
      <c r="AM68">
        <v>-0.18919892115673079</v>
      </c>
      <c r="AN68">
        <v>0.14412162521586952</v>
      </c>
    </row>
    <row r="69" spans="1:40" x14ac:dyDescent="0.2">
      <c r="A69" t="s">
        <v>106</v>
      </c>
      <c r="B69" s="1">
        <v>-0.93093059060864936</v>
      </c>
      <c r="C69" s="1">
        <v>-2.1158439145512773</v>
      </c>
      <c r="D69" s="1">
        <v>-1.6188002755355673</v>
      </c>
      <c r="E69" s="1">
        <v>-1.3597925863636773</v>
      </c>
      <c r="F69" s="1">
        <v>-1.4477037527997874</v>
      </c>
      <c r="G69" s="1">
        <v>-0.71686833828824925</v>
      </c>
      <c r="H69" s="1">
        <v>-0.78354346123382923</v>
      </c>
      <c r="I69" s="1">
        <v>-0.12833150344510413</v>
      </c>
      <c r="J69" s="1">
        <v>0.46415883285094256</v>
      </c>
      <c r="K69" s="1">
        <v>-1.6427770327215254</v>
      </c>
      <c r="L69" s="1">
        <v>-0.59992593990846543</v>
      </c>
      <c r="M69" s="1">
        <v>1.6917970173828345</v>
      </c>
      <c r="N69" s="2">
        <v>-2.9088999158768551</v>
      </c>
      <c r="O69" s="2">
        <v>-1.4149543644589353</v>
      </c>
      <c r="P69" s="2">
        <v>-1.0846435417433853</v>
      </c>
      <c r="Q69" s="2">
        <v>-1.8665788043588651</v>
      </c>
      <c r="R69" s="2" t="s">
        <v>67</v>
      </c>
      <c r="S69" s="2">
        <v>0.71984649875325268</v>
      </c>
      <c r="T69" s="2">
        <v>-0.78562239078608531</v>
      </c>
      <c r="U69" s="2">
        <v>-1.9369573526247754</v>
      </c>
      <c r="V69" s="2">
        <v>-1.4844124118313753</v>
      </c>
      <c r="W69" s="2">
        <v>-2.1352478268048554</v>
      </c>
      <c r="X69" s="2" t="s">
        <v>67</v>
      </c>
      <c r="Y69" s="2">
        <v>-2.0062230481008454</v>
      </c>
      <c r="Z69" s="2">
        <v>-0.67720613349724434</v>
      </c>
      <c r="AA69" s="2">
        <v>-1.0269884015746353</v>
      </c>
      <c r="AC69">
        <f t="shared" si="6"/>
        <v>-0.76571346210186286</v>
      </c>
      <c r="AD69">
        <f t="shared" si="7"/>
        <v>-1.3839906410753837</v>
      </c>
      <c r="AE69">
        <f t="shared" si="8"/>
        <v>1.5350409886865646</v>
      </c>
      <c r="AF69">
        <f t="shared" si="9"/>
        <v>0.13986169481949126</v>
      </c>
      <c r="AG69">
        <f t="shared" si="10"/>
        <v>0.61827717897352075</v>
      </c>
      <c r="AH69">
        <f t="shared" si="11"/>
        <v>0.85430121335952047</v>
      </c>
      <c r="AI69" t="s">
        <v>106</v>
      </c>
      <c r="AL69" t="s">
        <v>78</v>
      </c>
      <c r="AM69">
        <v>7.7164616339159012E-2</v>
      </c>
      <c r="AN69">
        <v>0.12957833927303486</v>
      </c>
    </row>
    <row r="70" spans="1:40" x14ac:dyDescent="0.2">
      <c r="A70" t="s">
        <v>107</v>
      </c>
      <c r="B70" s="1">
        <v>3.2344839644904808</v>
      </c>
      <c r="C70" s="1">
        <v>4.2256094446234602</v>
      </c>
      <c r="D70" s="1">
        <v>3.0439103972650909</v>
      </c>
      <c r="E70" s="1">
        <v>2.5212915404230407</v>
      </c>
      <c r="F70" s="1">
        <v>2.0304911657906111</v>
      </c>
      <c r="G70" s="1">
        <v>4.1855591022072218</v>
      </c>
      <c r="H70" s="1">
        <v>3.6099080079354424</v>
      </c>
      <c r="I70" s="1">
        <v>4.3384824068524104</v>
      </c>
      <c r="J70" s="1">
        <v>3.9896579928766802</v>
      </c>
      <c r="K70" s="1">
        <v>7.2638785843649103</v>
      </c>
      <c r="L70" s="1">
        <v>5.2467179342610599</v>
      </c>
      <c r="M70" s="1">
        <v>3.9380101893756101</v>
      </c>
      <c r="N70" s="2">
        <v>6.3692086046782483</v>
      </c>
      <c r="O70" s="2">
        <v>2.9996864447523985</v>
      </c>
      <c r="P70" s="2">
        <v>3.8267783397962387</v>
      </c>
      <c r="Q70" s="2">
        <v>7.0754385563597282</v>
      </c>
      <c r="R70" s="2">
        <v>2.1601395116818787</v>
      </c>
      <c r="S70" s="2">
        <v>5.5937678756588287</v>
      </c>
      <c r="T70" s="2">
        <v>3.8891638083852085</v>
      </c>
      <c r="U70" s="2">
        <v>4.9067981405304391</v>
      </c>
      <c r="V70" s="2">
        <v>6.0415531530674285</v>
      </c>
      <c r="W70" s="2">
        <v>2.1574114494608527</v>
      </c>
      <c r="X70" s="2">
        <v>4.9193130412051289</v>
      </c>
      <c r="Y70" s="2">
        <v>6.345427701699359</v>
      </c>
      <c r="Z70" s="2">
        <v>2.2187891272476294</v>
      </c>
      <c r="AA70" s="2">
        <v>2.6697730747319088</v>
      </c>
      <c r="AC70">
        <f t="shared" si="6"/>
        <v>3.9690000608721685</v>
      </c>
      <c r="AD70">
        <f t="shared" si="7"/>
        <v>4.3695177735182336</v>
      </c>
      <c r="AE70">
        <f t="shared" si="8"/>
        <v>0.7575863737966122</v>
      </c>
      <c r="AF70">
        <f t="shared" si="9"/>
        <v>0.51718893309209668</v>
      </c>
      <c r="AG70">
        <f t="shared" si="10"/>
        <v>-0.40051771264606506</v>
      </c>
      <c r="AH70">
        <f t="shared" si="11"/>
        <v>0.28635077680876808</v>
      </c>
      <c r="AI70" t="s">
        <v>107</v>
      </c>
      <c r="AL70" t="s">
        <v>61</v>
      </c>
      <c r="AM70">
        <v>-0.13821676570928959</v>
      </c>
      <c r="AN70">
        <v>0.10159199108357141</v>
      </c>
    </row>
    <row r="71" spans="1:40" x14ac:dyDescent="0.2">
      <c r="A71" t="s">
        <v>108</v>
      </c>
      <c r="B71" s="1">
        <v>-0.71693214499108515</v>
      </c>
      <c r="C71" s="1">
        <v>-1.0194299257542601</v>
      </c>
      <c r="D71" s="1">
        <v>-1.0725212342184181</v>
      </c>
      <c r="E71" s="1">
        <v>-1.0499084537829551</v>
      </c>
      <c r="F71" s="1">
        <v>-1.4515635222973411</v>
      </c>
      <c r="G71" s="1">
        <v>-1.6518989048050212</v>
      </c>
      <c r="H71" s="1">
        <v>-0.6350169583655576</v>
      </c>
      <c r="I71" s="1">
        <v>-1.032518880632479</v>
      </c>
      <c r="J71" s="1">
        <v>-0.55266743155933806</v>
      </c>
      <c r="K71" s="1">
        <v>0.13802724734144597</v>
      </c>
      <c r="L71" s="1">
        <v>-0.656922321933054</v>
      </c>
      <c r="M71" s="1">
        <v>-0.96859156456810891</v>
      </c>
      <c r="N71" s="2">
        <v>-0.91775632585147515</v>
      </c>
      <c r="O71" s="2">
        <v>-0.14284398135927553</v>
      </c>
      <c r="P71" s="2">
        <v>-6.140525135970612E-2</v>
      </c>
      <c r="Q71" s="2">
        <v>-1.3671282073573281</v>
      </c>
      <c r="R71" s="2">
        <v>-1.7171822727504182</v>
      </c>
      <c r="S71" s="2">
        <v>-0.72038602930740614</v>
      </c>
      <c r="T71" s="2">
        <v>-0.55809033994011414</v>
      </c>
      <c r="U71" s="2">
        <v>-0.44416180163165414</v>
      </c>
      <c r="V71" s="2">
        <v>-0.99855592669956417</v>
      </c>
      <c r="W71" s="2">
        <v>-1.8265181614061581</v>
      </c>
      <c r="X71" s="2">
        <v>-0.8074518888214951</v>
      </c>
      <c r="Y71" s="2">
        <v>-1.4994051806653381</v>
      </c>
      <c r="Z71" s="2">
        <v>-1.1129923846459051</v>
      </c>
      <c r="AA71" s="2">
        <v>-1.634382680452608</v>
      </c>
      <c r="AC71">
        <f t="shared" si="6"/>
        <v>-0.88916200796384792</v>
      </c>
      <c r="AD71">
        <f t="shared" si="7"/>
        <v>-0.98630431658917472</v>
      </c>
      <c r="AE71">
        <f t="shared" si="8"/>
        <v>1.069652594093129</v>
      </c>
      <c r="AF71">
        <f t="shared" si="9"/>
        <v>0.63508506277739696</v>
      </c>
      <c r="AG71">
        <f t="shared" si="10"/>
        <v>9.7142308625326815E-2</v>
      </c>
      <c r="AH71">
        <f t="shared" si="11"/>
        <v>0.19716810176201183</v>
      </c>
      <c r="AI71" t="s">
        <v>108</v>
      </c>
      <c r="AL71" t="s">
        <v>120</v>
      </c>
      <c r="AM71">
        <v>9.9445044805423696E-2</v>
      </c>
      <c r="AN71">
        <v>9.3655693197267992E-2</v>
      </c>
    </row>
    <row r="72" spans="1:40" x14ac:dyDescent="0.2">
      <c r="A72" t="s">
        <v>109</v>
      </c>
      <c r="B72" s="1">
        <v>0.38597602612708293</v>
      </c>
      <c r="C72" s="1">
        <v>-1.8411873696634502</v>
      </c>
      <c r="D72" s="1">
        <v>-0.39879996551882912</v>
      </c>
      <c r="E72" s="1">
        <v>-1.5700967470818089E-2</v>
      </c>
      <c r="F72" s="1">
        <v>0.3525783155352169</v>
      </c>
      <c r="G72" s="1">
        <v>-0.74094883476888218</v>
      </c>
      <c r="H72" s="1">
        <v>0.53651259906339477</v>
      </c>
      <c r="I72" s="1">
        <v>-0.67945933427077909</v>
      </c>
      <c r="J72" s="1">
        <v>-0.59459971362762409</v>
      </c>
      <c r="K72" s="1">
        <v>-9.4035865331340146E-2</v>
      </c>
      <c r="L72" s="1">
        <v>1.0389810948750959</v>
      </c>
      <c r="M72" s="1">
        <v>0.34860912610469885</v>
      </c>
      <c r="N72" s="2">
        <v>-0.57303321082930914</v>
      </c>
      <c r="O72" s="2">
        <v>9.546836117064246E-2</v>
      </c>
      <c r="P72" s="2">
        <v>0.45723040155207584</v>
      </c>
      <c r="Q72" s="2">
        <v>-0.92748333897402413</v>
      </c>
      <c r="R72" s="2">
        <v>-0.79538109954681613</v>
      </c>
      <c r="S72" s="2">
        <v>-0.23422529908344816</v>
      </c>
      <c r="T72" s="2">
        <v>-0.53504472149137017</v>
      </c>
      <c r="U72" s="2">
        <v>-0.16087961408049214</v>
      </c>
      <c r="V72" s="2">
        <v>0.64009911105699091</v>
      </c>
      <c r="W72" s="2">
        <v>-0.78256979747134614</v>
      </c>
      <c r="X72" s="2">
        <v>-0.15195172227588313</v>
      </c>
      <c r="Y72" s="2">
        <v>-0.54756925299094816</v>
      </c>
      <c r="Z72" s="2">
        <v>-0.5238933595384021</v>
      </c>
      <c r="AA72" s="2">
        <v>0.13278115673137866</v>
      </c>
      <c r="AC72">
        <f t="shared" si="6"/>
        <v>-0.14183957407885284</v>
      </c>
      <c r="AD72">
        <f t="shared" si="7"/>
        <v>-0.27903231326935368</v>
      </c>
      <c r="AE72">
        <f t="shared" si="8"/>
        <v>1.0997630641359653</v>
      </c>
      <c r="AF72">
        <f t="shared" si="9"/>
        <v>0.5972508784604581</v>
      </c>
      <c r="AG72">
        <f t="shared" si="10"/>
        <v>0.13719273919050071</v>
      </c>
      <c r="AH72">
        <f t="shared" si="11"/>
        <v>0.22384320279993639</v>
      </c>
      <c r="AI72" t="s">
        <v>109</v>
      </c>
      <c r="AL72" t="s">
        <v>74</v>
      </c>
      <c r="AM72">
        <v>6.3112263748067388E-2</v>
      </c>
      <c r="AN72">
        <v>7.6930970172508981E-2</v>
      </c>
    </row>
    <row r="73" spans="1:40" x14ac:dyDescent="0.2">
      <c r="A73" t="s">
        <v>110</v>
      </c>
      <c r="B73" s="1">
        <v>0.91766118184425682</v>
      </c>
      <c r="C73" s="1">
        <v>-2.338278774596553</v>
      </c>
      <c r="D73" s="1">
        <v>-0.32736545866228428</v>
      </c>
      <c r="E73" s="1">
        <v>-0.66334666123098029</v>
      </c>
      <c r="F73" s="1">
        <v>-1.7293917541309232</v>
      </c>
      <c r="G73" s="1">
        <v>-1.2352712451194432</v>
      </c>
      <c r="H73" s="1">
        <v>-1.1224472146317834</v>
      </c>
      <c r="I73" s="1">
        <v>-1.6384722120571928</v>
      </c>
      <c r="J73" s="1">
        <v>-2.1490725229583059</v>
      </c>
      <c r="K73" s="1">
        <v>2.6402623209989944</v>
      </c>
      <c r="L73" s="1">
        <v>1.5216893588345741</v>
      </c>
      <c r="M73" s="1">
        <v>-1.0374655118656739</v>
      </c>
      <c r="N73" s="2">
        <v>-0.60808230276118436</v>
      </c>
      <c r="O73" s="2">
        <v>-0.50244135534613421</v>
      </c>
      <c r="P73" s="2">
        <v>-1.0402477597575643</v>
      </c>
      <c r="Q73" s="2">
        <v>-1.8676327734095941</v>
      </c>
      <c r="R73" s="2">
        <v>-1.7355984458258842</v>
      </c>
      <c r="S73" s="2">
        <v>-0.6438057004393043</v>
      </c>
      <c r="T73" s="2">
        <v>-0.64536719469879422</v>
      </c>
      <c r="U73" s="2">
        <v>-0.41642786306928437</v>
      </c>
      <c r="V73" s="2">
        <v>-1.9568421572084045</v>
      </c>
      <c r="W73" s="2">
        <v>-1.4829836118136943</v>
      </c>
      <c r="X73" s="2">
        <v>-0.61736838817912432</v>
      </c>
      <c r="Y73" s="2">
        <v>-1.3664015401871643</v>
      </c>
      <c r="Z73" s="2">
        <v>-0.95637463625402419</v>
      </c>
      <c r="AA73" s="2">
        <v>-0.28569841795766326</v>
      </c>
      <c r="AC73">
        <f t="shared" si="6"/>
        <v>-0.59679154113127619</v>
      </c>
      <c r="AD73">
        <f t="shared" si="7"/>
        <v>-1.0089480104934154</v>
      </c>
      <c r="AE73">
        <f t="shared" si="8"/>
        <v>1.3306733531594486</v>
      </c>
      <c r="AF73">
        <f t="shared" si="9"/>
        <v>0.39525220911564651</v>
      </c>
      <c r="AG73">
        <f t="shared" si="10"/>
        <v>0.41215646936213918</v>
      </c>
      <c r="AH73">
        <f t="shared" si="11"/>
        <v>0.40312569406101822</v>
      </c>
      <c r="AI73" t="s">
        <v>110</v>
      </c>
      <c r="AL73" t="s">
        <v>56</v>
      </c>
      <c r="AM73">
        <v>-9.8411642697462609E-2</v>
      </c>
      <c r="AN73">
        <v>7.3907869033833035E-2</v>
      </c>
    </row>
    <row r="74" spans="1:40" x14ac:dyDescent="0.2">
      <c r="A74" t="s">
        <v>111</v>
      </c>
      <c r="B74" s="1">
        <v>0.55543353992221156</v>
      </c>
      <c r="C74" s="1">
        <v>0.85644455299135247</v>
      </c>
      <c r="D74" s="1">
        <v>-0.12706202765111746</v>
      </c>
      <c r="E74" s="1">
        <v>0.50468520339607159</v>
      </c>
      <c r="F74" s="1">
        <v>0.85540303168462262</v>
      </c>
      <c r="G74" s="1">
        <v>-0.45485355883532852</v>
      </c>
      <c r="H74" s="1">
        <v>0.77560268547031885</v>
      </c>
      <c r="I74" s="1">
        <v>-1.4368469940355677E-2</v>
      </c>
      <c r="J74" s="1">
        <v>-0.10087151744064871</v>
      </c>
      <c r="K74" s="1">
        <v>-0.86469566474234183</v>
      </c>
      <c r="L74" s="1">
        <v>-0.4741329086326318</v>
      </c>
      <c r="M74" s="1">
        <v>-0.32247669228190068</v>
      </c>
      <c r="N74" s="2">
        <v>2.176559260117604</v>
      </c>
      <c r="O74" s="2">
        <v>0.15667338554140775</v>
      </c>
      <c r="P74" s="2">
        <v>0.56257789447261364</v>
      </c>
      <c r="Q74" s="2">
        <v>1.4021963332202436</v>
      </c>
      <c r="R74" s="2">
        <v>-0.14487802282029028</v>
      </c>
      <c r="S74" s="2">
        <v>1.9584951246768936</v>
      </c>
      <c r="T74" s="2">
        <v>2.0748749175673709E-2</v>
      </c>
      <c r="U74" s="2">
        <v>-0.65162268685835523</v>
      </c>
      <c r="V74" s="2">
        <v>0.63551937173320372</v>
      </c>
      <c r="W74" s="2">
        <v>-0.49715699129577978</v>
      </c>
      <c r="X74" s="2">
        <v>1.9692757077044136</v>
      </c>
      <c r="Y74" s="2">
        <v>-0.99896367345512727</v>
      </c>
      <c r="Z74" s="2">
        <v>-0.42010926828521455</v>
      </c>
      <c r="AA74" s="2">
        <v>-0.53367957250009734</v>
      </c>
      <c r="AC74">
        <f t="shared" si="6"/>
        <v>9.9092347828354368E-2</v>
      </c>
      <c r="AD74">
        <f t="shared" si="7"/>
        <v>0.40254540081622781</v>
      </c>
      <c r="AE74">
        <f t="shared" si="8"/>
        <v>0.81031061613769462</v>
      </c>
      <c r="AF74">
        <f t="shared" si="9"/>
        <v>0.37419523499360507</v>
      </c>
      <c r="AG74">
        <f t="shared" si="10"/>
        <v>-0.30345305298787356</v>
      </c>
      <c r="AH74">
        <f t="shared" si="11"/>
        <v>0.42690174711168888</v>
      </c>
      <c r="AI74" t="s">
        <v>111</v>
      </c>
      <c r="AL74" t="s">
        <v>71</v>
      </c>
      <c r="AM74">
        <v>4.2802325916078236E-2</v>
      </c>
      <c r="AN74">
        <v>7.1197438742325245E-2</v>
      </c>
    </row>
    <row r="75" spans="1:40" x14ac:dyDescent="0.2">
      <c r="A75" t="s">
        <v>112</v>
      </c>
      <c r="B75" s="1">
        <v>-1.0707795794676267</v>
      </c>
      <c r="C75" s="1">
        <v>-0.88496329933494688</v>
      </c>
      <c r="D75" s="1">
        <v>-1.345055531939737</v>
      </c>
      <c r="E75" s="1">
        <v>-0.70651107356297083</v>
      </c>
      <c r="F75" s="1">
        <v>-1.1648870320570071</v>
      </c>
      <c r="G75" s="1">
        <v>-1.0973426013690171</v>
      </c>
      <c r="H75" s="1">
        <v>-0.87709836097344096</v>
      </c>
      <c r="I75" s="1">
        <v>-0.37526853500163304</v>
      </c>
      <c r="J75" s="1">
        <v>-1.0200767436350291</v>
      </c>
      <c r="K75" s="1">
        <v>1.3418536162237309</v>
      </c>
      <c r="L75" s="1">
        <v>-0.87114666222848891</v>
      </c>
      <c r="M75" s="1">
        <v>-1.7763284805056392</v>
      </c>
      <c r="N75" s="2">
        <v>-0.86380081006278719</v>
      </c>
      <c r="O75" s="2">
        <v>-0.45267565082662509</v>
      </c>
      <c r="P75" s="2">
        <v>-0.19957135789463221</v>
      </c>
      <c r="Q75" s="2">
        <v>0.14099622779736276</v>
      </c>
      <c r="R75" s="2">
        <v>-0.77271931583034115</v>
      </c>
      <c r="S75" s="2">
        <v>-0.70586389709307618</v>
      </c>
      <c r="T75" s="2">
        <v>-1.4552695454875753</v>
      </c>
      <c r="U75" s="2">
        <v>-0.11198223545910418</v>
      </c>
      <c r="V75" s="2">
        <v>-0.31109691063395717</v>
      </c>
      <c r="W75" s="2">
        <v>-0.91449767889350519</v>
      </c>
      <c r="X75" s="2">
        <v>-1.1274074741319722</v>
      </c>
      <c r="Y75" s="2">
        <v>-4.8208012588448201E-2</v>
      </c>
      <c r="Z75" s="2">
        <v>-0.97566129050316819</v>
      </c>
      <c r="AA75" s="2">
        <v>-1.0583893941439642</v>
      </c>
      <c r="AC75">
        <f t="shared" si="6"/>
        <v>-0.82063369032098377</v>
      </c>
      <c r="AD75">
        <f t="shared" si="7"/>
        <v>-0.63258195326798528</v>
      </c>
      <c r="AE75">
        <f t="shared" si="8"/>
        <v>0.87779031826201348</v>
      </c>
      <c r="AF75">
        <f t="shared" si="9"/>
        <v>0.46819868338135606</v>
      </c>
      <c r="AG75">
        <f t="shared" si="10"/>
        <v>-0.1880517370529986</v>
      </c>
      <c r="AH75">
        <f t="shared" si="11"/>
        <v>0.32956981191452428</v>
      </c>
      <c r="AI75" t="s">
        <v>112</v>
      </c>
      <c r="AL75" t="s">
        <v>59</v>
      </c>
      <c r="AM75">
        <v>6.3006382309079748E-2</v>
      </c>
      <c r="AN75">
        <v>5.3841023658721947E-2</v>
      </c>
    </row>
    <row r="76" spans="1:40" x14ac:dyDescent="0.2">
      <c r="A76" t="s">
        <v>113</v>
      </c>
      <c r="B76" s="1">
        <v>0.44564664775168428</v>
      </c>
      <c r="C76" s="1">
        <v>-1.5705638092597738</v>
      </c>
      <c r="D76" s="1">
        <v>-0.97504208737051379</v>
      </c>
      <c r="E76" s="1">
        <v>-0.54663110114763969</v>
      </c>
      <c r="F76" s="1">
        <v>0.39562260793542431</v>
      </c>
      <c r="G76" s="1">
        <v>-0.25495536557048371</v>
      </c>
      <c r="H76" s="1">
        <v>0.23283969918866937</v>
      </c>
      <c r="I76" s="1">
        <v>-0.73926153014399199</v>
      </c>
      <c r="J76" s="1">
        <v>-0.98472063741736204</v>
      </c>
      <c r="K76" s="1">
        <v>-0.16784726512746001</v>
      </c>
      <c r="L76" s="1">
        <v>0.21087245227638063</v>
      </c>
      <c r="M76" s="1">
        <v>-0.60915053609042502</v>
      </c>
      <c r="N76" s="2">
        <v>-0.64520972661800757</v>
      </c>
      <c r="O76" s="2">
        <v>-0.46111005166295765</v>
      </c>
      <c r="P76" s="2">
        <v>-0.62992553164900955</v>
      </c>
      <c r="Q76" s="2">
        <v>-0.38448617713970173</v>
      </c>
      <c r="R76" s="2">
        <v>-0.63569948775938456</v>
      </c>
      <c r="S76" s="2">
        <v>0.15445893254952342</v>
      </c>
      <c r="T76" s="2">
        <v>-1.4089876271001356</v>
      </c>
      <c r="U76" s="2">
        <v>0.33806480295655145</v>
      </c>
      <c r="V76" s="2">
        <v>0.25803284876256943</v>
      </c>
      <c r="W76" s="2">
        <v>-0.73631368223654348</v>
      </c>
      <c r="X76" s="2">
        <v>-0.31115990450728054</v>
      </c>
      <c r="Y76" s="2">
        <v>7.0665099999504544E-3</v>
      </c>
      <c r="Z76" s="2">
        <v>-0.90011243181051248</v>
      </c>
      <c r="AA76" s="2">
        <v>-0.37780139367934595</v>
      </c>
      <c r="AC76">
        <f t="shared" ref="AC76:AC89" si="12">AVERAGE(B76:M76)</f>
        <v>-0.38026591041462421</v>
      </c>
      <c r="AD76">
        <f t="shared" ref="AD76:AD89" si="13">AVERAGE(N76:AA76)</f>
        <v>-0.40951306570673457</v>
      </c>
      <c r="AE76">
        <f t="shared" ref="AE76:AE89" si="14">2^(AC76 - AD76)</f>
        <v>1.020479467708147</v>
      </c>
      <c r="AF76">
        <f t="shared" ref="AF76:AF89" si="15">_xlfn.T.TEST(B76:M76,N76:AA76, 2, 3)</f>
        <v>0.89721601885049496</v>
      </c>
      <c r="AG76">
        <f t="shared" ref="AG76:AG89" si="16">LOG(AE76,2)</f>
        <v>2.9247155292110211E-2</v>
      </c>
      <c r="AH76">
        <f t="shared" ref="AH76:AH89" si="17">-LOG(AF76,10)</f>
        <v>4.7102981147616498E-2</v>
      </c>
      <c r="AI76" t="s">
        <v>113</v>
      </c>
      <c r="AL76" t="s">
        <v>113</v>
      </c>
      <c r="AM76">
        <v>2.9247155292110211E-2</v>
      </c>
      <c r="AN76">
        <v>4.7102981147616498E-2</v>
      </c>
    </row>
    <row r="77" spans="1:40" x14ac:dyDescent="0.2">
      <c r="A77" t="s">
        <v>114</v>
      </c>
      <c r="B77" s="1">
        <v>0.37407044689713376</v>
      </c>
      <c r="C77" s="1" t="s">
        <v>67</v>
      </c>
      <c r="D77" s="1">
        <v>0.2075372716715575</v>
      </c>
      <c r="E77" s="1">
        <v>-0.2248646614566242</v>
      </c>
      <c r="F77" s="1">
        <v>5.4391443056145794E-2</v>
      </c>
      <c r="G77" s="1">
        <v>-0.90851812192929515</v>
      </c>
      <c r="H77" s="1">
        <v>0.21295159207367348</v>
      </c>
      <c r="I77" s="1">
        <v>4.7324275564020746E-3</v>
      </c>
      <c r="J77" s="1">
        <v>-1.4054651278899439</v>
      </c>
      <c r="K77" s="1">
        <v>-1.5267921217389038</v>
      </c>
      <c r="L77" s="1">
        <v>-3.174383229056793E-2</v>
      </c>
      <c r="M77" s="1">
        <v>-1.083156246706324</v>
      </c>
      <c r="N77" s="2">
        <v>-1.238867621252207</v>
      </c>
      <c r="O77" s="2">
        <v>-0.73923897069463296</v>
      </c>
      <c r="P77" s="2">
        <v>-0.48762315180058713</v>
      </c>
      <c r="Q77" s="2">
        <v>-1.2339744393540069</v>
      </c>
      <c r="R77" s="2">
        <v>-1.0262189590864499</v>
      </c>
      <c r="S77" s="2">
        <v>5.8017170516307004E-2</v>
      </c>
      <c r="T77" s="2">
        <v>-0.73910947750717493</v>
      </c>
      <c r="U77" s="2">
        <v>-0.57682397403902907</v>
      </c>
      <c r="V77" s="2">
        <v>-3.6384917840964981E-2</v>
      </c>
      <c r="W77" s="2">
        <v>-0.95166637172912905</v>
      </c>
      <c r="X77" s="2">
        <v>-0.72730805276327004</v>
      </c>
      <c r="Y77" s="2">
        <v>-0.542773751001559</v>
      </c>
      <c r="Z77" s="2">
        <v>-1.0004450225423192</v>
      </c>
      <c r="AA77" s="2">
        <v>-0.55326781446809203</v>
      </c>
      <c r="AC77">
        <f t="shared" si="12"/>
        <v>-0.39335063006879517</v>
      </c>
      <c r="AD77">
        <f t="shared" si="13"/>
        <v>-0.69969181096879396</v>
      </c>
      <c r="AE77">
        <f t="shared" si="14"/>
        <v>1.2365676604737443</v>
      </c>
      <c r="AF77">
        <f t="shared" si="15"/>
        <v>0.21219973696719643</v>
      </c>
      <c r="AG77">
        <f t="shared" si="16"/>
        <v>0.30634118089999873</v>
      </c>
      <c r="AH77">
        <f t="shared" si="17"/>
        <v>0.67325515876533759</v>
      </c>
      <c r="AI77" t="s">
        <v>114</v>
      </c>
      <c r="AL77" t="s">
        <v>119</v>
      </c>
      <c r="AM77">
        <v>4.5409890803917337E-2</v>
      </c>
      <c r="AN77">
        <v>3.8946051435079052E-2</v>
      </c>
    </row>
    <row r="78" spans="1:40" x14ac:dyDescent="0.2">
      <c r="A78" t="s">
        <v>115</v>
      </c>
      <c r="B78" s="1">
        <v>0.43954472636369313</v>
      </c>
      <c r="C78" s="1">
        <v>-1.9776099653388837</v>
      </c>
      <c r="D78" s="1">
        <v>-0.52437730808695782</v>
      </c>
      <c r="E78" s="1">
        <v>-0.39591085192276187</v>
      </c>
      <c r="F78" s="1">
        <v>-0.96186920527522379</v>
      </c>
      <c r="G78" s="1">
        <v>-0.3983171938670339</v>
      </c>
      <c r="H78" s="1">
        <v>0.32525639978035487</v>
      </c>
      <c r="I78" s="1">
        <v>-0.71835985245947531</v>
      </c>
      <c r="J78" s="1">
        <v>-1.3568197360330183</v>
      </c>
      <c r="K78" s="1">
        <v>-2.2024109306577184</v>
      </c>
      <c r="L78" s="1">
        <v>-0.17141752844539732</v>
      </c>
      <c r="M78" s="1">
        <v>-0.51758811237174229</v>
      </c>
      <c r="N78" s="2">
        <v>-1.03582753166874</v>
      </c>
      <c r="O78" s="2">
        <v>-0.40205375075506644</v>
      </c>
      <c r="P78" s="2">
        <v>-0.88491869965670489</v>
      </c>
      <c r="Q78" s="2">
        <v>-1.2974941791512258</v>
      </c>
      <c r="R78" s="2">
        <v>-0.57727996112051982</v>
      </c>
      <c r="S78" s="2">
        <v>-0.23881637822489482</v>
      </c>
      <c r="T78" s="2">
        <v>-0.94104716535750976</v>
      </c>
      <c r="U78" s="2">
        <v>-0.49280273008911002</v>
      </c>
      <c r="V78" s="2">
        <v>-1.2714700793310818</v>
      </c>
      <c r="W78" s="2">
        <v>-0.78317126854672081</v>
      </c>
      <c r="X78" s="2">
        <v>-0.20962168765192082</v>
      </c>
      <c r="Y78" s="2">
        <v>-0.69442855559974281</v>
      </c>
      <c r="Z78" s="2">
        <v>-0.67230487942853878</v>
      </c>
      <c r="AA78" s="2">
        <v>-0.6963291821449058</v>
      </c>
      <c r="AC78">
        <f t="shared" si="12"/>
        <v>-0.70498996319284712</v>
      </c>
      <c r="AD78">
        <f t="shared" si="13"/>
        <v>-0.72839757490904877</v>
      </c>
      <c r="AE78">
        <f t="shared" si="14"/>
        <v>1.0163572588401997</v>
      </c>
      <c r="AF78">
        <f t="shared" si="15"/>
        <v>0.92711729091924422</v>
      </c>
      <c r="AG78">
        <f t="shared" si="16"/>
        <v>2.3407611716201714E-2</v>
      </c>
      <c r="AH78">
        <f t="shared" si="17"/>
        <v>3.2865319170821694E-2</v>
      </c>
      <c r="AI78" t="s">
        <v>115</v>
      </c>
      <c r="AL78" t="s">
        <v>85</v>
      </c>
      <c r="AM78">
        <v>4.4062401320321111E-2</v>
      </c>
      <c r="AN78">
        <v>3.7042567708538532E-2</v>
      </c>
    </row>
    <row r="79" spans="1:40" x14ac:dyDescent="0.2">
      <c r="A79" t="s">
        <v>116</v>
      </c>
      <c r="B79" s="1">
        <v>-0.92525640977035484</v>
      </c>
      <c r="C79" s="1">
        <v>0.44592901815682218</v>
      </c>
      <c r="D79" s="1">
        <v>-0.44279393461841787</v>
      </c>
      <c r="E79" s="1">
        <v>1.1783821993337135E-2</v>
      </c>
      <c r="F79" s="1">
        <v>-0.69678939664207884</v>
      </c>
      <c r="G79" s="1">
        <v>-0.95426510288302779</v>
      </c>
      <c r="H79" s="1">
        <v>-0.86232872081571088</v>
      </c>
      <c r="I79" s="1">
        <v>5.7228320961523194E-2</v>
      </c>
      <c r="J79" s="1">
        <v>2.8520916580062172E-2</v>
      </c>
      <c r="K79" s="1">
        <v>3.52965232626262</v>
      </c>
      <c r="L79" s="1">
        <v>1.2193230158260633</v>
      </c>
      <c r="M79" s="1">
        <v>-1.2939265963225099</v>
      </c>
      <c r="N79" s="2">
        <v>0.76692793420501182</v>
      </c>
      <c r="O79" s="2">
        <v>1.335364536528777E-2</v>
      </c>
      <c r="P79" s="2">
        <v>0.25356536527716877</v>
      </c>
      <c r="Q79" s="2">
        <v>1.0718416527861119</v>
      </c>
      <c r="R79" s="2">
        <v>0.65706447617373176</v>
      </c>
      <c r="S79" s="2">
        <v>0.86831947364041173</v>
      </c>
      <c r="T79" s="2">
        <v>0.59247458118412177</v>
      </c>
      <c r="U79" s="2">
        <v>-0.26526201807172523</v>
      </c>
      <c r="V79" s="2">
        <v>2.5192249387639809E-2</v>
      </c>
      <c r="W79" s="2">
        <v>-8.1317127058365191E-2</v>
      </c>
      <c r="X79" s="2">
        <v>0.29598579805359682</v>
      </c>
      <c r="Y79" s="2">
        <v>1.1011116785751618</v>
      </c>
      <c r="Z79" s="2">
        <v>2.6328598112803803E-2</v>
      </c>
      <c r="AA79" s="2">
        <v>-0.63653388389516319</v>
      </c>
      <c r="AC79">
        <f t="shared" si="12"/>
        <v>9.7564382273606087E-3</v>
      </c>
      <c r="AD79">
        <f t="shared" si="13"/>
        <v>0.33493231598112816</v>
      </c>
      <c r="AE79">
        <f t="shared" si="14"/>
        <v>0.79820107239549021</v>
      </c>
      <c r="AF79">
        <f t="shared" si="15"/>
        <v>0.43483524057810641</v>
      </c>
      <c r="AG79">
        <f t="shared" si="16"/>
        <v>-0.32517587775376755</v>
      </c>
      <c r="AH79">
        <f t="shared" si="17"/>
        <v>0.36167526640631115</v>
      </c>
      <c r="AI79" t="s">
        <v>116</v>
      </c>
      <c r="AL79" t="s">
        <v>115</v>
      </c>
      <c r="AM79">
        <v>2.3407611716201714E-2</v>
      </c>
      <c r="AN79">
        <v>3.2865319170821694E-2</v>
      </c>
    </row>
    <row r="80" spans="1:40" x14ac:dyDescent="0.2">
      <c r="A80" t="s">
        <v>117</v>
      </c>
      <c r="B80" s="1">
        <v>0.50449058167850569</v>
      </c>
      <c r="C80" s="1">
        <v>0.10928470982922361</v>
      </c>
      <c r="D80" s="1">
        <v>-0.13367297802054437</v>
      </c>
      <c r="E80" s="1">
        <v>1.2069452200342967</v>
      </c>
      <c r="F80" s="1">
        <v>0.75372505320741567</v>
      </c>
      <c r="G80" s="1">
        <v>1.3480950382694166</v>
      </c>
      <c r="H80" s="1">
        <v>-1.0093336836910005</v>
      </c>
      <c r="I80" s="1">
        <v>1.4423186325748842</v>
      </c>
      <c r="J80" s="1">
        <v>1.0616374865374683</v>
      </c>
      <c r="K80" s="1">
        <v>3.7672746616288544</v>
      </c>
      <c r="L80" s="1">
        <v>1.6865519904389943</v>
      </c>
      <c r="M80" s="1">
        <v>-0.40404470499306577</v>
      </c>
      <c r="N80" s="2">
        <v>1.55198846852343</v>
      </c>
      <c r="O80" s="2">
        <v>0.45758359003552984</v>
      </c>
      <c r="P80" s="2">
        <v>1.5546734738710697</v>
      </c>
      <c r="Q80" s="2">
        <v>2.1357362280065799</v>
      </c>
      <c r="R80" s="2">
        <v>0.62990668247044979</v>
      </c>
      <c r="S80" s="2">
        <v>1.4744966121781098</v>
      </c>
      <c r="T80" s="2">
        <v>1.2435985957418898</v>
      </c>
      <c r="U80" s="2">
        <v>1.6331709893794497</v>
      </c>
      <c r="V80" s="2">
        <v>2.13146249559124</v>
      </c>
      <c r="W80" s="2">
        <v>5.8382678482233885E-2</v>
      </c>
      <c r="X80" s="2">
        <v>1.1590677033082399</v>
      </c>
      <c r="Y80" s="2">
        <v>2.22603155882658</v>
      </c>
      <c r="Z80" s="2">
        <v>-0.15430900205816211</v>
      </c>
      <c r="AA80" s="2">
        <v>-6.0403133378182094E-2</v>
      </c>
      <c r="AC80">
        <f t="shared" si="12"/>
        <v>0.86110600062453735</v>
      </c>
      <c r="AD80">
        <f t="shared" si="13"/>
        <v>1.1458133529270327</v>
      </c>
      <c r="AE80">
        <f t="shared" si="14"/>
        <v>0.82090811143075915</v>
      </c>
      <c r="AF80">
        <f t="shared" si="15"/>
        <v>0.50435669308674758</v>
      </c>
      <c r="AG80">
        <f t="shared" si="16"/>
        <v>-0.28470735230249533</v>
      </c>
      <c r="AH80">
        <f t="shared" si="17"/>
        <v>0.29726221147427162</v>
      </c>
      <c r="AI80" t="s">
        <v>117</v>
      </c>
    </row>
    <row r="81" spans="1:35" x14ac:dyDescent="0.2">
      <c r="A81" t="s">
        <v>118</v>
      </c>
      <c r="B81" s="1">
        <v>0.13166670783821557</v>
      </c>
      <c r="C81" s="1">
        <v>-1.0358964675939166</v>
      </c>
      <c r="D81" s="1">
        <v>-1.3801798081893866</v>
      </c>
      <c r="E81" s="1">
        <v>8.8061318020129564E-2</v>
      </c>
      <c r="F81" s="1">
        <v>0.67126596023150564</v>
      </c>
      <c r="G81" s="1">
        <v>-5.4663482658534046E-3</v>
      </c>
      <c r="H81" s="1">
        <v>0.80745255604009869</v>
      </c>
      <c r="I81" s="1">
        <v>2.18462776919722</v>
      </c>
      <c r="J81" s="1">
        <v>-1.1445760169311603</v>
      </c>
      <c r="K81" s="1">
        <v>-0.27705816668052818</v>
      </c>
      <c r="L81" s="1">
        <v>0.88920578718516485</v>
      </c>
      <c r="M81" s="1">
        <v>-0.54936043037344318</v>
      </c>
      <c r="N81" s="2">
        <v>0.47131121113306929</v>
      </c>
      <c r="O81" s="2">
        <v>-0.71480274654336173</v>
      </c>
      <c r="P81" s="2">
        <v>0.62916325872929924</v>
      </c>
      <c r="Q81" s="2">
        <v>0.52565745848678924</v>
      </c>
      <c r="R81" s="2">
        <v>-0.31833001799343874</v>
      </c>
      <c r="S81" s="2">
        <v>1.1949814154045593</v>
      </c>
      <c r="T81" s="2">
        <v>-0.39049544797860974</v>
      </c>
      <c r="U81" s="2">
        <v>0.65299040269652919</v>
      </c>
      <c r="V81" s="2">
        <v>2.9854511503026391</v>
      </c>
      <c r="W81" s="2">
        <v>-0.42659740609809577</v>
      </c>
      <c r="X81" s="2">
        <v>0.1712567974497492</v>
      </c>
      <c r="Y81" s="2">
        <v>-1.7587190544705811E-2</v>
      </c>
      <c r="Z81" s="2">
        <v>-0.97985579095508779</v>
      </c>
      <c r="AA81" s="2">
        <v>-0.59234620208623678</v>
      </c>
      <c r="AC81">
        <f t="shared" si="12"/>
        <v>3.1645238373170508E-2</v>
      </c>
      <c r="AD81">
        <f t="shared" si="13"/>
        <v>0.22791406371450704</v>
      </c>
      <c r="AE81">
        <f t="shared" si="14"/>
        <v>0.87280494141143827</v>
      </c>
      <c r="AF81">
        <f t="shared" si="15"/>
        <v>0.62673274178615457</v>
      </c>
      <c r="AG81">
        <f t="shared" si="16"/>
        <v>-0.19626882534133647</v>
      </c>
      <c r="AH81">
        <f t="shared" si="17"/>
        <v>0.20291761628515997</v>
      </c>
      <c r="AI81" t="s">
        <v>118</v>
      </c>
    </row>
    <row r="82" spans="1:35" x14ac:dyDescent="0.2">
      <c r="A82" t="s">
        <v>119</v>
      </c>
      <c r="B82" s="1">
        <v>0.51732442130120293</v>
      </c>
      <c r="C82" s="1">
        <v>-1.2596098300066791</v>
      </c>
      <c r="D82" s="1">
        <v>-0.83817868240682802</v>
      </c>
      <c r="E82" s="1">
        <v>-0.2871027841215511</v>
      </c>
      <c r="F82" s="1">
        <v>0.3042067334369149</v>
      </c>
      <c r="G82" s="1">
        <v>-1.3692864384539591</v>
      </c>
      <c r="H82" s="1">
        <v>-0.35890094402303641</v>
      </c>
      <c r="I82" s="1">
        <v>0.30539614551119193</v>
      </c>
      <c r="J82" s="1">
        <v>-2.4524724209834065E-2</v>
      </c>
      <c r="K82" s="1">
        <v>2.6611467294653708</v>
      </c>
      <c r="L82" s="1">
        <v>-0.46823181075458009</v>
      </c>
      <c r="M82" s="1">
        <v>-0.53436063112934906</v>
      </c>
      <c r="N82" s="2">
        <v>-6.7941179109686042E-2</v>
      </c>
      <c r="O82" s="2">
        <v>6.8906518988566659E-2</v>
      </c>
      <c r="P82" s="2">
        <v>-1.058625117226919</v>
      </c>
      <c r="Q82" s="2">
        <v>-0.71583349157163711</v>
      </c>
      <c r="R82" s="2">
        <v>1.3428920929751009</v>
      </c>
      <c r="S82" s="2">
        <v>0.44660445813921795</v>
      </c>
      <c r="T82" s="2">
        <v>1.6524699561690208</v>
      </c>
      <c r="U82" s="2">
        <v>-0.31584839825777505</v>
      </c>
      <c r="V82" s="2">
        <v>-0.37297191109820205</v>
      </c>
      <c r="W82" s="2">
        <v>-0.60928268723576506</v>
      </c>
      <c r="X82" s="2">
        <v>0.68310672444293696</v>
      </c>
      <c r="Y82" s="2">
        <v>-2.1403431676640889</v>
      </c>
      <c r="Z82" s="2">
        <v>0.53973072502124797</v>
      </c>
      <c r="AA82" s="2">
        <v>-1.666078446116519</v>
      </c>
      <c r="AC82">
        <f t="shared" si="12"/>
        <v>-0.11267681794926133</v>
      </c>
      <c r="AD82">
        <f t="shared" si="13"/>
        <v>-0.15808670875317862</v>
      </c>
      <c r="AE82">
        <f t="shared" si="14"/>
        <v>1.031976337255254</v>
      </c>
      <c r="AF82">
        <f t="shared" si="15"/>
        <v>0.91422680073181994</v>
      </c>
      <c r="AG82">
        <f t="shared" si="16"/>
        <v>4.5409890803917337E-2</v>
      </c>
      <c r="AH82">
        <f t="shared" si="17"/>
        <v>3.8946051435079052E-2</v>
      </c>
      <c r="AI82" t="s">
        <v>119</v>
      </c>
    </row>
    <row r="83" spans="1:35" x14ac:dyDescent="0.2">
      <c r="A83" t="s">
        <v>120</v>
      </c>
      <c r="B83" s="1">
        <v>1.9501418566210256</v>
      </c>
      <c r="C83" s="1">
        <v>-1.3306420354531745</v>
      </c>
      <c r="D83" s="1">
        <v>-0.64332350242723757</v>
      </c>
      <c r="E83" s="1">
        <v>9.2194096993534827E-3</v>
      </c>
      <c r="F83" s="1">
        <v>-0.32652906627741451</v>
      </c>
      <c r="G83" s="1">
        <v>0.12852873852914248</v>
      </c>
      <c r="H83" s="1">
        <v>-0.26043709163799789</v>
      </c>
      <c r="I83" s="1">
        <v>0.79251332694126198</v>
      </c>
      <c r="J83" s="1">
        <v>-1.1157945502497109</v>
      </c>
      <c r="K83" s="1">
        <v>1.5950178587309822</v>
      </c>
      <c r="L83" s="1">
        <v>0.42934663700179398</v>
      </c>
      <c r="M83" s="1">
        <v>1.6181656007910821</v>
      </c>
      <c r="N83" s="2">
        <v>1.9416721270376001</v>
      </c>
      <c r="O83" s="2">
        <v>0.83113531306207422</v>
      </c>
      <c r="P83" s="2">
        <v>-0.69637329612032983</v>
      </c>
      <c r="Q83" s="2">
        <v>-0.71488557050282997</v>
      </c>
      <c r="R83" s="2">
        <v>-0.28120630525899881</v>
      </c>
      <c r="S83" s="2">
        <v>1.7675630782221003</v>
      </c>
      <c r="T83" s="2">
        <v>1.2718061347353062</v>
      </c>
      <c r="U83" s="2">
        <v>-1.07513802055339</v>
      </c>
      <c r="V83" s="2">
        <v>-0.28026562213754691</v>
      </c>
      <c r="W83" s="2">
        <v>-6.1235360255938842E-2</v>
      </c>
      <c r="X83" s="2">
        <v>-2.3979033283206885E-2</v>
      </c>
      <c r="Y83" s="2">
        <v>-0.57470624762030087</v>
      </c>
      <c r="Z83" s="2">
        <v>-0.10908176149795185</v>
      </c>
      <c r="AA83" s="2">
        <v>-6.6961017121895838E-2</v>
      </c>
      <c r="AC83">
        <f t="shared" si="12"/>
        <v>0.23718393185575884</v>
      </c>
      <c r="AD83">
        <f t="shared" si="13"/>
        <v>0.13773888705033505</v>
      </c>
      <c r="AE83">
        <f t="shared" si="14"/>
        <v>1.0713612674074942</v>
      </c>
      <c r="AF83">
        <f t="shared" si="15"/>
        <v>0.80601719494045021</v>
      </c>
      <c r="AG83">
        <f t="shared" si="16"/>
        <v>9.9445044805423696E-2</v>
      </c>
      <c r="AH83">
        <f t="shared" si="17"/>
        <v>9.3655693197267992E-2</v>
      </c>
      <c r="AI83" t="s">
        <v>120</v>
      </c>
    </row>
    <row r="84" spans="1:35" x14ac:dyDescent="0.2">
      <c r="A84" t="s">
        <v>121</v>
      </c>
      <c r="B84" s="1">
        <v>4.6631913938227827</v>
      </c>
      <c r="C84" s="1">
        <v>1.3320712429041723</v>
      </c>
      <c r="D84" s="1">
        <v>1.7480078340703225</v>
      </c>
      <c r="E84" s="1">
        <v>2.3105333072221526</v>
      </c>
      <c r="F84" s="1">
        <v>1.3082472887932926</v>
      </c>
      <c r="G84" s="1">
        <v>4.8485523213446022</v>
      </c>
      <c r="H84" s="1">
        <v>0.9849011576290696</v>
      </c>
      <c r="I84" s="1">
        <v>3.3575363064193069</v>
      </c>
      <c r="J84" s="1">
        <v>0.13668669035479508</v>
      </c>
      <c r="K84" s="1">
        <v>3.5489788186779871</v>
      </c>
      <c r="L84" s="1">
        <v>3.4401686779958371</v>
      </c>
      <c r="M84" s="1">
        <v>1.5979851178085671</v>
      </c>
      <c r="N84" s="2">
        <v>1.4955849759107529</v>
      </c>
      <c r="O84" s="2">
        <v>1.287504215086549</v>
      </c>
      <c r="P84" s="2">
        <v>0.92852122331572684</v>
      </c>
      <c r="Q84" s="2">
        <v>1.7771346380950399</v>
      </c>
      <c r="R84" s="2">
        <v>1.021288832462542</v>
      </c>
      <c r="S84" s="2">
        <v>4.3843164709590212</v>
      </c>
      <c r="T84" s="2">
        <v>1.7184285252900509</v>
      </c>
      <c r="U84" s="2">
        <v>2.1367498222182606</v>
      </c>
      <c r="V84" s="2">
        <v>3.6869466269124613</v>
      </c>
      <c r="W84" s="2">
        <v>1.28736260257785</v>
      </c>
      <c r="X84" s="2">
        <v>0.37194120556070698</v>
      </c>
      <c r="Y84" s="2">
        <v>0.75732108717703994</v>
      </c>
      <c r="Z84" s="2">
        <v>1.9728566070517539</v>
      </c>
      <c r="AA84" s="2">
        <v>2.4201249424704212</v>
      </c>
      <c r="AC84">
        <f t="shared" si="12"/>
        <v>2.4397383464202407</v>
      </c>
      <c r="AD84">
        <f t="shared" si="13"/>
        <v>1.8032915553634414</v>
      </c>
      <c r="AE84">
        <f t="shared" si="14"/>
        <v>1.5544958779079276</v>
      </c>
      <c r="AF84">
        <f t="shared" si="15"/>
        <v>0.2401519378234418</v>
      </c>
      <c r="AG84">
        <f t="shared" si="16"/>
        <v>0.63644679105679913</v>
      </c>
      <c r="AH84">
        <f t="shared" si="17"/>
        <v>0.61951390462097056</v>
      </c>
      <c r="AI84" t="s">
        <v>121</v>
      </c>
    </row>
    <row r="85" spans="1:35" x14ac:dyDescent="0.2">
      <c r="A85" t="s">
        <v>122</v>
      </c>
      <c r="B85" s="1">
        <v>0.63735946651753128</v>
      </c>
      <c r="C85" s="1">
        <v>0.34603678911959534</v>
      </c>
      <c r="D85" s="1">
        <v>-0.81222485005824274</v>
      </c>
      <c r="E85" s="1">
        <v>-0.46649103308711759</v>
      </c>
      <c r="F85" s="1">
        <v>-0.43035495526360867</v>
      </c>
      <c r="G85" s="1">
        <v>-1.3197889732246226</v>
      </c>
      <c r="H85" s="1">
        <v>1.3581460553157219</v>
      </c>
      <c r="I85" s="1">
        <v>-0.69232974511075274</v>
      </c>
      <c r="J85" s="1">
        <v>-0.93288977188312883</v>
      </c>
      <c r="K85" s="1">
        <v>-1.1095056409845319</v>
      </c>
      <c r="L85" s="1">
        <v>-1.506053752192172</v>
      </c>
      <c r="M85" s="1">
        <v>-0.24433981159298482</v>
      </c>
      <c r="N85" s="2">
        <v>-0.73069925435353711</v>
      </c>
      <c r="O85" s="2">
        <v>1.3666498989149509</v>
      </c>
      <c r="P85" s="2">
        <v>-0.12498453364698314</v>
      </c>
      <c r="Q85" s="2">
        <v>-0.23473382141793214</v>
      </c>
      <c r="R85" s="2">
        <v>0.59192580517618087</v>
      </c>
      <c r="S85" s="2">
        <v>0.89706606019823099</v>
      </c>
      <c r="T85" s="2">
        <v>0.61066147211868094</v>
      </c>
      <c r="U85" s="2">
        <v>-1.0375358486997932</v>
      </c>
      <c r="V85" s="2">
        <v>0.14535734550754281</v>
      </c>
      <c r="W85" s="2">
        <v>1.607460234982651</v>
      </c>
      <c r="X85" s="2">
        <v>-0.21561101941146515</v>
      </c>
      <c r="Y85" s="2">
        <v>-0.16609342027970814</v>
      </c>
      <c r="Z85" s="2">
        <v>0.15999041354384186</v>
      </c>
      <c r="AA85" s="2">
        <v>-0.24896979339415515</v>
      </c>
      <c r="AC85">
        <f t="shared" si="12"/>
        <v>-0.43103635187035949</v>
      </c>
      <c r="AD85">
        <f t="shared" si="13"/>
        <v>0.18717739565989325</v>
      </c>
      <c r="AE85">
        <f t="shared" si="14"/>
        <v>0.65147704567049391</v>
      </c>
      <c r="AF85">
        <f t="shared" si="15"/>
        <v>6.311045464933461E-2</v>
      </c>
      <c r="AG85">
        <f t="shared" si="16"/>
        <v>-0.61821374753025271</v>
      </c>
      <c r="AH85">
        <f t="shared" si="17"/>
        <v>1.1998986911453637</v>
      </c>
      <c r="AI85" t="s">
        <v>122</v>
      </c>
    </row>
    <row r="86" spans="1:35" x14ac:dyDescent="0.2">
      <c r="A86" t="s">
        <v>123</v>
      </c>
      <c r="B86" s="1">
        <v>0.52936412234981023</v>
      </c>
      <c r="C86" s="1">
        <v>-1.4059716813021299</v>
      </c>
      <c r="D86" s="1">
        <v>-1.68491179332799</v>
      </c>
      <c r="E86" s="1">
        <v>0.26414402490761513</v>
      </c>
      <c r="F86" s="1">
        <v>-0.34946817807811381</v>
      </c>
      <c r="G86" s="1">
        <v>0.49043255527290819</v>
      </c>
      <c r="H86" s="1">
        <v>0.7079246934207386</v>
      </c>
      <c r="I86" s="1">
        <v>-0.77587643612794466</v>
      </c>
      <c r="J86" s="1">
        <v>-0.55252283386093159</v>
      </c>
      <c r="K86" s="1">
        <v>-0.32537966579652666</v>
      </c>
      <c r="L86" s="1">
        <v>5.0982305567873365E-2</v>
      </c>
      <c r="M86" s="1">
        <v>-1.9322586399653146</v>
      </c>
      <c r="N86" s="2">
        <v>0.13982791984894427</v>
      </c>
      <c r="O86" s="2">
        <v>0.71439331542533413</v>
      </c>
      <c r="P86" s="2">
        <v>0.5998259829265542</v>
      </c>
      <c r="Q86" s="2">
        <v>1.6404965193395942</v>
      </c>
      <c r="R86" s="2">
        <v>-0.41774568923500877</v>
      </c>
      <c r="S86" s="2">
        <v>1.7114834897600044</v>
      </c>
      <c r="T86" s="2">
        <v>-0.10500506403065879</v>
      </c>
      <c r="U86" s="2">
        <v>-0.35531940398972084</v>
      </c>
      <c r="V86" s="2">
        <v>0.4507915955145243</v>
      </c>
      <c r="W86" s="2">
        <v>1.4996269350419142</v>
      </c>
      <c r="X86" s="2">
        <v>1.0795139065749249E-2</v>
      </c>
      <c r="Y86" s="2">
        <v>1.0112823659990942</v>
      </c>
      <c r="Z86" s="2">
        <v>-0.57334948622040272</v>
      </c>
      <c r="AA86" s="2">
        <v>-0.38007333568448576</v>
      </c>
      <c r="AC86">
        <f t="shared" si="12"/>
        <v>-0.41529512724500045</v>
      </c>
      <c r="AD86">
        <f t="shared" si="13"/>
        <v>0.42478787741153112</v>
      </c>
      <c r="AE86">
        <f t="shared" si="14"/>
        <v>0.55861142871376457</v>
      </c>
      <c r="AF86">
        <f t="shared" si="15"/>
        <v>1.9425214520333123E-2</v>
      </c>
      <c r="AG86">
        <f t="shared" si="16"/>
        <v>-0.84008300465653152</v>
      </c>
      <c r="AH86">
        <f t="shared" si="17"/>
        <v>1.7116341764146927</v>
      </c>
      <c r="AI86" t="s">
        <v>123</v>
      </c>
    </row>
    <row r="87" spans="1:35" x14ac:dyDescent="0.2">
      <c r="A87" t="s">
        <v>124</v>
      </c>
      <c r="B87" s="1">
        <v>-1.3364325028086022</v>
      </c>
      <c r="C87" s="1">
        <v>-0.70054407878842229</v>
      </c>
      <c r="D87" s="1">
        <v>-0.75549075788708131</v>
      </c>
      <c r="E87" s="1">
        <v>-0.56198857350577025</v>
      </c>
      <c r="F87" s="1">
        <v>-1.2253954338338322</v>
      </c>
      <c r="G87" s="1">
        <v>6.3226816363474797E-2</v>
      </c>
      <c r="H87" s="1">
        <v>-0.94611992483455043</v>
      </c>
      <c r="I87" s="1">
        <v>-0.88629971533958329</v>
      </c>
      <c r="J87" s="1">
        <v>-0.61231286270087337</v>
      </c>
      <c r="K87" s="1">
        <v>-1.0320979551058533</v>
      </c>
      <c r="L87" s="1">
        <v>-0.61795304547640328</v>
      </c>
      <c r="M87" s="1">
        <v>-1.3293906101466832</v>
      </c>
      <c r="N87" s="2">
        <v>-3.2209183477689751E-2</v>
      </c>
      <c r="O87" s="2">
        <v>-0.27209201754300183</v>
      </c>
      <c r="P87" s="2">
        <v>-9.1930094875300794E-2</v>
      </c>
      <c r="Q87" s="2">
        <v>0.46088658250940118</v>
      </c>
      <c r="R87" s="2">
        <v>-0.33086913854054778</v>
      </c>
      <c r="S87" s="2">
        <v>0.19638673699765918</v>
      </c>
      <c r="T87" s="2">
        <v>-0.80680189231064181</v>
      </c>
      <c r="U87" s="2">
        <v>-0.87746097635111797</v>
      </c>
      <c r="V87" s="2">
        <v>2.488677747149231</v>
      </c>
      <c r="W87" s="2">
        <v>0.35923067592481128</v>
      </c>
      <c r="X87" s="2">
        <v>-0.27444467831538877</v>
      </c>
      <c r="Y87" s="2">
        <v>0.80524780875684121</v>
      </c>
      <c r="Z87" s="2">
        <v>-1.5753100873619927</v>
      </c>
      <c r="AA87" s="2">
        <v>-0.92573741366781981</v>
      </c>
      <c r="AC87">
        <f t="shared" si="12"/>
        <v>-0.8283998870053485</v>
      </c>
      <c r="AD87">
        <f t="shared" si="13"/>
        <v>-6.260185222182553E-2</v>
      </c>
      <c r="AE87">
        <f t="shared" si="14"/>
        <v>0.58812795236782556</v>
      </c>
      <c r="AF87">
        <f t="shared" si="15"/>
        <v>1.4516630871496123E-2</v>
      </c>
      <c r="AG87">
        <f t="shared" si="16"/>
        <v>-0.76579803478352293</v>
      </c>
      <c r="AH87">
        <f t="shared" si="17"/>
        <v>1.8381341662598527</v>
      </c>
      <c r="AI87" t="s">
        <v>124</v>
      </c>
    </row>
    <row r="88" spans="1:35" x14ac:dyDescent="0.2">
      <c r="A88" t="s">
        <v>125</v>
      </c>
      <c r="B88" s="1">
        <v>0.3089784313262196</v>
      </c>
      <c r="C88" s="1">
        <v>-1.9115827846768965</v>
      </c>
      <c r="D88" s="1">
        <v>-0.71340616784822641</v>
      </c>
      <c r="E88" s="1">
        <v>-0.56905947609064444</v>
      </c>
      <c r="F88" s="1">
        <v>-1.0916830736050365</v>
      </c>
      <c r="G88" s="1">
        <v>0.56416405180191265</v>
      </c>
      <c r="H88" s="1">
        <v>0.1700688247527265</v>
      </c>
      <c r="I88" s="1">
        <v>-0.66510694081548727</v>
      </c>
      <c r="J88" s="1">
        <v>-1.2815046795539273</v>
      </c>
      <c r="K88" s="1">
        <v>-1.1430507352735373</v>
      </c>
      <c r="L88" s="1">
        <v>1.9464498997532609E-2</v>
      </c>
      <c r="M88" s="1">
        <v>-0.20337248474888542</v>
      </c>
      <c r="N88" s="2">
        <v>0.80176215217008506</v>
      </c>
      <c r="O88" s="2">
        <v>0.76291399196092513</v>
      </c>
      <c r="P88" s="2">
        <v>-0.71042338388426585</v>
      </c>
      <c r="Q88" s="2">
        <v>0.82276100386873519</v>
      </c>
      <c r="R88" s="2">
        <v>-0.86334617246473844</v>
      </c>
      <c r="S88" s="2">
        <v>1.1702614349331351</v>
      </c>
      <c r="T88" s="2">
        <v>-0.37372211739743982</v>
      </c>
      <c r="U88" s="2">
        <v>-0.49298532201268985</v>
      </c>
      <c r="V88" s="2">
        <v>2.8345469042505651</v>
      </c>
      <c r="W88" s="2">
        <v>0.29278773564831506</v>
      </c>
      <c r="X88" s="2">
        <v>-6.9316007320834871E-2</v>
      </c>
      <c r="Y88" s="2">
        <v>-0.13842381984393382</v>
      </c>
      <c r="Z88" s="2">
        <v>-0.69700437186945285</v>
      </c>
      <c r="AA88" s="2">
        <v>-0.32809339670251486</v>
      </c>
      <c r="AC88">
        <f t="shared" si="12"/>
        <v>-0.54300754464452072</v>
      </c>
      <c r="AD88">
        <f t="shared" si="13"/>
        <v>0.21512275938113504</v>
      </c>
      <c r="AE88">
        <f t="shared" si="14"/>
        <v>0.59126209499596294</v>
      </c>
      <c r="AF88">
        <f t="shared" si="15"/>
        <v>3.6563644272958946E-2</v>
      </c>
      <c r="AG88">
        <f t="shared" si="16"/>
        <v>-0.75813030402565562</v>
      </c>
      <c r="AH88">
        <f t="shared" si="17"/>
        <v>1.4369505249523935</v>
      </c>
      <c r="AI88" t="s">
        <v>125</v>
      </c>
    </row>
    <row r="89" spans="1:35" x14ac:dyDescent="0.2">
      <c r="A89" t="s">
        <v>126</v>
      </c>
      <c r="B89" s="1">
        <v>0.37236100345678708</v>
      </c>
      <c r="C89" s="1">
        <v>-1.8016279030806892</v>
      </c>
      <c r="D89" s="1">
        <v>-0.2748223801203139</v>
      </c>
      <c r="E89" s="1">
        <v>0.22317194325602807</v>
      </c>
      <c r="F89" s="1">
        <v>0.56232951895917271</v>
      </c>
      <c r="G89" s="1">
        <v>-0.48299554721889992</v>
      </c>
      <c r="H89" s="1">
        <v>0.18323526799770332</v>
      </c>
      <c r="I89" s="1">
        <v>-0.98606119109060886</v>
      </c>
      <c r="J89" s="1">
        <v>-1.1866966102928989</v>
      </c>
      <c r="K89" s="1">
        <v>2.8519207978091909</v>
      </c>
      <c r="L89" s="1">
        <v>6.4962763568169019E-2</v>
      </c>
      <c r="M89" s="1">
        <v>-0.58763478488132681</v>
      </c>
      <c r="N89" s="2">
        <v>-0.5689251698780492</v>
      </c>
      <c r="O89" s="2">
        <v>0.33825577037788923</v>
      </c>
      <c r="P89" s="2">
        <v>4.1384903337312262E-2</v>
      </c>
      <c r="Q89" s="2">
        <v>0.95653384221224635</v>
      </c>
      <c r="R89" s="2">
        <v>-1.2914899738802879</v>
      </c>
      <c r="S89" s="2">
        <v>-0.40337310077013977</v>
      </c>
      <c r="T89" s="2">
        <v>5.695550110651626E-2</v>
      </c>
      <c r="U89" s="2">
        <v>-0.13506596279460975</v>
      </c>
      <c r="V89" s="2">
        <v>2.3467348006533864</v>
      </c>
      <c r="W89" s="2">
        <v>-0.36674750672458473</v>
      </c>
      <c r="X89" s="2">
        <v>1.4533552126482219E-2</v>
      </c>
      <c r="Y89" s="2">
        <v>-0.10073286105569079</v>
      </c>
      <c r="Z89" s="2">
        <v>-0.22618519818566774</v>
      </c>
      <c r="AA89" s="2">
        <v>0.57434177028231626</v>
      </c>
      <c r="AC89">
        <f t="shared" si="12"/>
        <v>-8.8488093469807197E-2</v>
      </c>
      <c r="AD89">
        <f t="shared" si="13"/>
        <v>8.8301454771937085E-2</v>
      </c>
      <c r="AE89">
        <f t="shared" si="14"/>
        <v>0.88466947623256242</v>
      </c>
      <c r="AF89">
        <f t="shared" si="15"/>
        <v>0.66600981059886244</v>
      </c>
      <c r="AG89">
        <f t="shared" si="16"/>
        <v>-0.17678954824174414</v>
      </c>
      <c r="AH89">
        <f t="shared" si="17"/>
        <v>0.17651937344596152</v>
      </c>
      <c r="AI8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Mobin LVH HCM</vt:lpstr>
      <vt:lpstr>Mobin M An HCM NFC</vt:lpstr>
      <vt:lpstr>Mobin F Ps HCM NFC</vt:lpstr>
      <vt:lpstr>Mobin F An HCM NFC</vt:lpstr>
      <vt:lpstr>Mobin HCM NFC</vt:lpstr>
      <vt:lpstr>Mobin M Ps HCM NFC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Onesh Punchinilame</dc:creator>
  <cp:lastModifiedBy>Onesh Punchinilame</cp:lastModifiedBy>
  <dcterms:created xsi:type="dcterms:W3CDTF">2025-12-09T19:01:10Z</dcterms:created>
  <dcterms:modified xsi:type="dcterms:W3CDTF">2026-01-29T13:21:24Z</dcterms:modified>
</cp:coreProperties>
</file>